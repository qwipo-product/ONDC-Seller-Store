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DBA3A7CA-49F6-4696-B31C-AE4E9A31E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KU Upload" sheetId="2" r:id="rId1"/>
    <sheet name="Master Data" sheetId="1" r:id="rId2"/>
    <sheet name="Validation" sheetId="3" r:id="rId3"/>
  </sheets>
  <definedNames>
    <definedName name="_xlnm._FilterDatabase" localSheetId="0" hidden="1">'Main SKU Upload'!$A$1:$T$177</definedName>
    <definedName name="MASTER_AVAILABLEONCOD">'Master Data'!$G$2:$G$3</definedName>
    <definedName name="MASTER_CANCELLABLE">'Master Data'!$F$2:$F$3</definedName>
    <definedName name="MASTER_CATEGORYID">'Master Data'!$D$2:$D$36</definedName>
    <definedName name="MASTER_COUNTRYOFORIGIN">'Master Data'!$I$2:$I$8</definedName>
    <definedName name="MASTER_GSTCESS">'Master Data'!$L$2:$L$7</definedName>
    <definedName name="MASTER_GSTTAX">'Master Data'!$K$2:$K$7</definedName>
    <definedName name="MASTER_ITEMSTATUS">'Master Data'!$J$2:$J$3</definedName>
    <definedName name="MASTER_MEASUREUNIT">'Master Data'!$A$2:$A$36</definedName>
    <definedName name="MASTER_PACKAGETYPE">'Master Data'!$C$2:$C$36</definedName>
    <definedName name="MASTER_RETURNABLE">'Master Data'!$E$2:$E$3</definedName>
    <definedName name="MASTER_TIMETOSHIP">'Master Data'!$H$2:$H$4</definedName>
    <definedName name="MASTER_WEIGHTMEASURE">'Master Data'!$B$2:$B$3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2" l="1" a="1"/>
  <c r="Y1" i="2" s="1"/>
  <c r="I16" i="2"/>
  <c r="K15" i="2"/>
  <c r="I15" i="2"/>
  <c r="K13" i="2"/>
  <c r="I13" i="2"/>
  <c r="K12" i="2"/>
  <c r="I12" i="2"/>
  <c r="I11" i="2"/>
  <c r="I10" i="2"/>
  <c r="I9" i="2"/>
  <c r="K8" i="2"/>
  <c r="I8" i="2"/>
  <c r="I7" i="2"/>
  <c r="I6" i="2"/>
  <c r="I5" i="2"/>
  <c r="K4" i="2"/>
  <c r="J4" i="2"/>
  <c r="I4" i="2"/>
  <c r="K3" i="2"/>
  <c r="J3" i="2"/>
  <c r="I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<sst xmlns="http://schemas.openxmlformats.org/spreadsheetml/2006/main" count="2253" uniqueCount="750">
  <si>
    <t>SKU Code *</t>
  </si>
  <si>
    <t>SKU Name *</t>
  </si>
  <si>
    <t>Group Name</t>
  </si>
  <si>
    <t>Measure Unit *</t>
  </si>
  <si>
    <t>Unit value *</t>
  </si>
  <si>
    <t>Weight Measure *</t>
  </si>
  <si>
    <t>SKU Weight *</t>
  </si>
  <si>
    <t>Inner Pack</t>
  </si>
  <si>
    <t>UPC</t>
  </si>
  <si>
    <t>MRP</t>
  </si>
  <si>
    <t>SP</t>
  </si>
  <si>
    <t>Selling Unit</t>
  </si>
  <si>
    <t>Package Type</t>
  </si>
  <si>
    <t>Package Type Value</t>
  </si>
  <si>
    <t>Category *</t>
  </si>
  <si>
    <t>Manufacturer *</t>
  </si>
  <si>
    <t>Brand *</t>
  </si>
  <si>
    <t>HSN Code</t>
  </si>
  <si>
    <t>GST Tax %</t>
  </si>
  <si>
    <t>GST Cess %</t>
  </si>
  <si>
    <t>Mandatory · Letters/digits/-/_</t>
  </si>
  <si>
    <t>Optional · Up to 100 chars</t>
  </si>
  <si>
    <t>Mandatory · Dropdown</t>
  </si>
  <si>
    <t>Mandatory · Free text</t>
  </si>
  <si>
    <t>Mandatory · Positive number &gt; 0</t>
  </si>
  <si>
    <t>Optional · Whole number ≥ 1</t>
  </si>
  <si>
    <t>Optional · Numeric</t>
  </si>
  <si>
    <t>Optional · Dropdown</t>
  </si>
  <si>
    <t>Optional · Positive number</t>
  </si>
  <si>
    <t>Mandatory · Linked company</t>
  </si>
  <si>
    <t>Mandatory · Linked brand</t>
  </si>
  <si>
    <t>Optional · 8-digit code</t>
  </si>
  <si>
    <t>4a032fcc-b058-46e2-9fda-0834c74019c0</t>
  </si>
  <si>
    <t xml:space="preserve">Ajay 101 - Hard Thoothbrush </t>
  </si>
  <si>
    <t>Pcs</t>
  </si>
  <si>
    <t>Gram</t>
  </si>
  <si>
    <t>Box</t>
  </si>
  <si>
    <t>Beauty &amp; Hygiene</t>
  </si>
  <si>
    <t>Raghav Lifestyle Products</t>
  </si>
  <si>
    <t>Ajay</t>
  </si>
  <si>
    <t>100bd47e-359f-47a0-80d8-43bd31e4c33a</t>
  </si>
  <si>
    <t xml:space="preserve">Ajay 101 - Medium Hard Thoothbrush </t>
  </si>
  <si>
    <t>7959e724-e04f-4d00-912e-08e99e40dce4</t>
  </si>
  <si>
    <t>Ajay 101 - Medium Quest Thoothbrush</t>
  </si>
  <si>
    <t>Sheet</t>
  </si>
  <si>
    <t>2a0351de-d521-44ac-a2a9-9ec1c4483b5f</t>
  </si>
  <si>
    <t>Ajay 101 - Soft Thoothbrush</t>
  </si>
  <si>
    <t>b931bccf-ea84-42ac-ad6e-e69ad549f9c7</t>
  </si>
  <si>
    <t>Ajay 101 - Soft Quest Thoothbrush</t>
  </si>
  <si>
    <t>95a8d67a-79d1-45c8-aa4f-02267b1f43c3</t>
  </si>
  <si>
    <t>Ajay 103 - Junior Complete Thoothbrush</t>
  </si>
  <si>
    <t>7709a9b6-a4a3-4ef1-9b8d-88ef32c1922c</t>
  </si>
  <si>
    <t>Ajay 104 - Comfort Thoothbrush</t>
  </si>
  <si>
    <t>e86a41fb-5c9d-4f5d-a361-8a2c1a436c79</t>
  </si>
  <si>
    <t>Ajay 107 - Complete Thoothbrush</t>
  </si>
  <si>
    <t>34ef4eaa-19c1-48dd-af90-85d213406b0b</t>
  </si>
  <si>
    <t>Ajay 108 - Thoothbrush</t>
  </si>
  <si>
    <t>54cd2868-1098-489e-8fec-0be4eed927dd</t>
  </si>
  <si>
    <t>Ajay 109 - Sensitive Plus Thoothbrush</t>
  </si>
  <si>
    <t>5e6086f6-bf7f-43b9-8549-13af3b07441d</t>
  </si>
  <si>
    <t>bb4bbf59-d88d-402f-8cc2-a9ba922912ab</t>
  </si>
  <si>
    <t>Ajay 110 - Prime Thoothbrush</t>
  </si>
  <si>
    <t>e1ad280e-18bc-4d77-8b60-5bf1de797b97</t>
  </si>
  <si>
    <t>Ajay 121 - Compact Thoothbrush</t>
  </si>
  <si>
    <t>192f4b02-14a1-45a5-9ff8-b57624357a49</t>
  </si>
  <si>
    <t>Ajay Shaving Brush</t>
  </si>
  <si>
    <t>Pack</t>
  </si>
  <si>
    <t>af68de36-af4f-44ae-890b-2bb0321ee1c9</t>
  </si>
  <si>
    <t>Ajay 101 - Medium Quest Thoothbrush 3+1 Offer</t>
  </si>
  <si>
    <t>ac9b68ca-3cd5-460a-8037-763d6cc2a76e</t>
  </si>
  <si>
    <t>Ajay 101 - Soft Quest Thoothbrush 3+1 Offer</t>
  </si>
  <si>
    <t>105721c2-13f0-47da-adfe-055d95aeeae9</t>
  </si>
  <si>
    <t>Ajay 109 - Thoothbrush</t>
  </si>
  <si>
    <t>ca1c9357-fd6f-43ea-8e7d-104a257c694e</t>
  </si>
  <si>
    <t>Priya Amla Pickle</t>
  </si>
  <si>
    <t xml:space="preserve"> </t>
  </si>
  <si>
    <t>Glass Jar</t>
  </si>
  <si>
    <t>Ushodaya Enterprises Private Limited</t>
  </si>
  <si>
    <t>Priya</t>
  </si>
  <si>
    <t>e8abc243-743e-4596-a9ef-a9a1cca49fc0</t>
  </si>
  <si>
    <t>Priya Biryani Masala Paste</t>
  </si>
  <si>
    <t>Pouch</t>
  </si>
  <si>
    <t>4042db16-190a-4bd0-a164-4767eca96123</t>
  </si>
  <si>
    <t xml:space="preserve">Priya Biryani Masala Powder </t>
  </si>
  <si>
    <t xml:space="preserve">            </t>
  </si>
  <si>
    <t>cd541250-20a9-4279-a5b8-9502320ef0a4</t>
  </si>
  <si>
    <t>Priya Chicken Masala Powder</t>
  </si>
  <si>
    <t>79b0b529-d7c8-40f0-9e97-671859fc409f</t>
  </si>
  <si>
    <t>Priya Premium Chilli Powder</t>
  </si>
  <si>
    <t>45815862-71da-4afa-8334-5e22184793ab</t>
  </si>
  <si>
    <t>3cec1a82-6b53-4bdd-9d73-7340d715d902</t>
  </si>
  <si>
    <t>eb686158-f7ab-429f-b519-fe9f3ee2c386</t>
  </si>
  <si>
    <t>0e05f65d-e2a9-4cab-aaac-a5be1b5baa3b</t>
  </si>
  <si>
    <t>d471b00a-1201-4d64-ab60-bda7ac33b10a</t>
  </si>
  <si>
    <t>Priya Cut Mango Pickle</t>
  </si>
  <si>
    <t>a18f5880-a0ed-45d6-b2d9-12830d4909b7</t>
  </si>
  <si>
    <t>Priya Delite Ginger Garlic Paste</t>
  </si>
  <si>
    <t>Kilogram</t>
  </si>
  <si>
    <t>Plastic Jar</t>
  </si>
  <si>
    <t>9e6af9b8-3a2e-4694-a9ba-c5d3fac258e2</t>
  </si>
  <si>
    <t>62bf3da4-a857-45bf-8405-f9bfe26b59b4</t>
  </si>
  <si>
    <t>Priya Coriander Powder</t>
  </si>
  <si>
    <t>0157bf82-6054-4081-9dcc-af02a731b169</t>
  </si>
  <si>
    <t>99e6045f-27cb-4bcf-b2cc-eaf46e844525</t>
  </si>
  <si>
    <t>c95fd8aa-c6c8-4293-babf-f7a58c67433d</t>
  </si>
  <si>
    <t>Priya Egg Masala</t>
  </si>
  <si>
    <t>e9942333-d2e0-410e-bd13-3562e2177350</t>
  </si>
  <si>
    <t>Priya Fish - Fry Masala</t>
  </si>
  <si>
    <t xml:space="preserve">   </t>
  </si>
  <si>
    <t>18dfffeb-f94f-4042-83e8-b6cb58ff19d1</t>
  </si>
  <si>
    <t>Priya Catla Fish Masala</t>
  </si>
  <si>
    <t>7c92e5f2-7685-4e72-91dd-42f048e88dd1</t>
  </si>
  <si>
    <t>Priya Garam Masala</t>
  </si>
  <si>
    <t xml:space="preserve">  </t>
  </si>
  <si>
    <t>fed8eede-bb7a-40fb-ac27-712594944adf</t>
  </si>
  <si>
    <t>Priya Garlic Pickle (Lahsun Ka Aachar)</t>
  </si>
  <si>
    <t>c3e34e7f-048c-469a-b279-2afb22c10850</t>
  </si>
  <si>
    <t>Priya Ginger Garlic Paste</t>
  </si>
  <si>
    <t>e7dd12da-1ff9-46af-99c2-a85de989970a</t>
  </si>
  <si>
    <t>703d6b8d-0d44-4bd2-a7a9-0795425024a1</t>
  </si>
  <si>
    <t xml:space="preserve">Priya Ginger Garlic Paste </t>
  </si>
  <si>
    <t>a1b04562-fc74-467a-a204-4ce155da1940</t>
  </si>
  <si>
    <t>c0dd2522-1f1b-4dcc-bc4b-8d7e006fa590</t>
  </si>
  <si>
    <t>e16ad0f9-5451-4f6a-9245-a73922159bfc</t>
  </si>
  <si>
    <t>Priya Ginger Pickle</t>
  </si>
  <si>
    <t>3c38d0c9-3769-48d4-8cec-ab8e551ce395</t>
  </si>
  <si>
    <t>41a24eda-9e51-4f8f-87fa-350a11e7c088</t>
  </si>
  <si>
    <t>Priya Gongura Pickle</t>
  </si>
  <si>
    <t>554ed052-aeeb-472a-9ad4-f3f5f240a6ab</t>
  </si>
  <si>
    <t>4691824a-bc05-462a-bb6a-42087ad81262</t>
  </si>
  <si>
    <t>Priya Green Tamarind Pickle Without Garlic</t>
  </si>
  <si>
    <t>ca02682c-fc45-48eb-8fc4-96fcf03b9968</t>
  </si>
  <si>
    <t xml:space="preserve">Priya Instant Gulab Jamun Mix </t>
  </si>
  <si>
    <t>e885d036-aad0-4995-ae6d-20bd74579dfc</t>
  </si>
  <si>
    <t>Priya Hyderabadi Chicken Biryani Masala</t>
  </si>
  <si>
    <t>6417a362-09ed-4f8e-aaed-20cc85ebad82</t>
  </si>
  <si>
    <t>Priya Papad Jeera Appalam</t>
  </si>
  <si>
    <t>48743b69-7d88-4169-840d-f969919d1e8f</t>
  </si>
  <si>
    <t>Priya Lime Pickle in Lime Juice</t>
  </si>
  <si>
    <t>4153d068-2574-46cc-bd4e-97c718402939</t>
  </si>
  <si>
    <t>e769dc57-5e8a-46e4-9c53-b302bc2f8bd5</t>
  </si>
  <si>
    <t>Priya Mango Avakaya Pickle</t>
  </si>
  <si>
    <t>f845fd90-8d90-44d9-bb59-a0f2adf36f5d</t>
  </si>
  <si>
    <t>eccde15b-ffd0-4eba-a361-d44ac4ccc1a5</t>
  </si>
  <si>
    <t>8fa482f5-c147-43b6-bd10-7ab3d58580d0</t>
  </si>
  <si>
    <t>Priya Mango Thokku Pickle</t>
  </si>
  <si>
    <t>bcf40caf-cfa1-48bb-a39f-5c1cb7be432e</t>
  </si>
  <si>
    <t>5aa6c4a2-3be0-4ef2-a8e9-c7471d85f3fb</t>
  </si>
  <si>
    <t>Priya Papad Masala Appalam</t>
  </si>
  <si>
    <t>1ee9038f-4c7d-4467-b833-3e166715f78f</t>
  </si>
  <si>
    <t>Priya Meat Masala</t>
  </si>
  <si>
    <t>3cf51fd9-0936-448e-bfab-361ff7fedbe4</t>
  </si>
  <si>
    <t>Priya Mixed Vegetable Pickle</t>
  </si>
  <si>
    <t>ec467295-175c-4df0-8297-0bd8fdd56a13</t>
  </si>
  <si>
    <t>dfa82a68-9dfc-45f8-a491-845c33fa5354</t>
  </si>
  <si>
    <t>Priya Non Veg Curry Masala Paste</t>
  </si>
  <si>
    <t>06d43ab7-da10-41d1-a300-e5a859bf54cd</t>
  </si>
  <si>
    <t>7480f265-4415-4572-b6dc-545eef0e4d68</t>
  </si>
  <si>
    <t>Ramya Mango Avkaya Pickle</t>
  </si>
  <si>
    <t>82243f28-6e75-4d95-9f83-1c3c68a194e4</t>
  </si>
  <si>
    <t>0c8d25f0-26f5-4844-8495-7243de84b9a8</t>
  </si>
  <si>
    <t>Ramya Tomato Pickle</t>
  </si>
  <si>
    <t>e19e3aa9-31f9-48ae-b365-d2f2ce2c7be5</t>
  </si>
  <si>
    <t>f8490a31-63d2-43a3-864a-09d3891eed24</t>
  </si>
  <si>
    <t>Priya Premium Rasam Powder</t>
  </si>
  <si>
    <t>42c0b76a-0471-41d7-b6ad-06056dfd6620</t>
  </si>
  <si>
    <t>Priya Red Chilli Pickle</t>
  </si>
  <si>
    <t>65a91e50-9679-494e-8944-eb35d8d5f811</t>
  </si>
  <si>
    <t>0a0cf7c6-833a-47b9-8759-183d0a0031b9</t>
  </si>
  <si>
    <t>Priya Premium Sambar Powder</t>
  </si>
  <si>
    <t>5d1fd8fe-b80f-4541-82b6-be2cd8f25fbe</t>
  </si>
  <si>
    <t>Priya Tamarind Paste</t>
  </si>
  <si>
    <t>d63ae502-8a66-4543-99b5-d4f39e27680c</t>
  </si>
  <si>
    <t>Priya Tomato Pickle</t>
  </si>
  <si>
    <t>8f5881a7-eb59-4448-8da6-b93ae89bce06</t>
  </si>
  <si>
    <t>d4ed5b4d-9ac9-4553-a397-cfbdff410fd9</t>
  </si>
  <si>
    <t>Priya Turmeric (Haldi) Powder</t>
  </si>
  <si>
    <t>61c7f692-e3e9-469d-866a-564a6645a71e</t>
  </si>
  <si>
    <t>9a08b3cf-9cd7-464f-9a09-5d102fdda112</t>
  </si>
  <si>
    <t>fe0392b6-0c87-4c61-8a91-aa31dfc81481</t>
  </si>
  <si>
    <t>dfcfa4b6-c668-4f2e-8018-0265210ca7c6</t>
  </si>
  <si>
    <t>12c50016-4627-4be5-9b2f-4cee47a22ce3</t>
  </si>
  <si>
    <t>Priya Urad Dal Papad - Plain</t>
  </si>
  <si>
    <t>00e8c52e-5946-4cde-ae3f-d3b7142de24a</t>
  </si>
  <si>
    <t>Grb Buffelo Ghee</t>
  </si>
  <si>
    <t>Milliliter</t>
  </si>
  <si>
    <t>GRB DAIRY FOODS PVT.LTD.</t>
  </si>
  <si>
    <t>Grb</t>
  </si>
  <si>
    <t>17cd7147-3a43-4758-bea2-511c1cf85138</t>
  </si>
  <si>
    <t>Liter</t>
  </si>
  <si>
    <t>d6ee9fd9-1895-4c72-8838-040abd4c11e2</t>
  </si>
  <si>
    <t>f4429dc4-e93a-4a16-99b1-608571492108</t>
  </si>
  <si>
    <t>b53ffd5d-0a2f-4eac-b631-7a5c50d8e113</t>
  </si>
  <si>
    <t>b6c49461-0284-4274-9ee6-c72bc777ed3a</t>
  </si>
  <si>
    <t>f964229a-a33d-427c-a520-3b14f0e1aec0</t>
  </si>
  <si>
    <t>d6921ed9-8d39-475e-8af5-0f35623d2710</t>
  </si>
  <si>
    <t>aa7dead4-f7fd-4080-9a92-3f76f9b0327a</t>
  </si>
  <si>
    <t>8e7bf8cd-4ef3-40ea-a565-d72856e4d5c2</t>
  </si>
  <si>
    <t>8be15255-15d7-4208-8785-8740062317a5</t>
  </si>
  <si>
    <t>Grb Cow Ghee</t>
  </si>
  <si>
    <t>8f99212b-32d6-48a9-9a52-f6b7830116db</t>
  </si>
  <si>
    <t>21813527-db82-4535-bf4f-ad9d2470d676</t>
  </si>
  <si>
    <t>ee80c6ed-fb25-4093-806e-abe6cf13b2e8</t>
  </si>
  <si>
    <t>1a15bd9d-6ac4-4c13-b55f-ce32178598b0</t>
  </si>
  <si>
    <t>01428352-0b37-4fea-989e-220f7d181e86</t>
  </si>
  <si>
    <t>e9b69527-1175-4dac-ad07-528840937312</t>
  </si>
  <si>
    <t>7b1e8727-ec28-4fef-980c-38d189f58e1f</t>
  </si>
  <si>
    <t xml:space="preserve">Cycle Karpure Citrus Camphor </t>
  </si>
  <si>
    <t>N. Ranga Rao &amp; Sons Private Limited</t>
  </si>
  <si>
    <t>Cycle</t>
  </si>
  <si>
    <t>f02170f5-13ee-4481-ac28-cc7aad884fa3</t>
  </si>
  <si>
    <t>Cycle Karpure Oudh Camphor</t>
  </si>
  <si>
    <t>7cb82650-0a55-4601-bbdb-c0f1e3a5f834</t>
  </si>
  <si>
    <t>Cycle Om Shanthi Camphor</t>
  </si>
  <si>
    <t>Om Shanthi</t>
  </si>
  <si>
    <t>428ef380-6dd4-4cdb-a237-bcdaddf37721</t>
  </si>
  <si>
    <t>fceb1862-1012-4143-8da9-02db46432578</t>
  </si>
  <si>
    <t>73281659-4ba9-4f18-a289-f5161cc40c81</t>
  </si>
  <si>
    <t>e30a1f0e-9673-49f6-97e8-660ea234d4dd</t>
  </si>
  <si>
    <t>Om Shanthi Pure Cotton Wicks (Mogra Watt)</t>
  </si>
  <si>
    <t>Nons</t>
  </si>
  <si>
    <t>5b0b8673-39c2-44b6-a713-1180fc61d92c</t>
  </si>
  <si>
    <t>Om Shanthi Pure Cotton Wicks (Samai Watt)</t>
  </si>
  <si>
    <t>bc3cc595-e883-4570-8335-c32298552f96</t>
  </si>
  <si>
    <t>Cycle Sambrani</t>
  </si>
  <si>
    <t>91d788c0-5b11-4f2e-b273-271e208ec6bf</t>
  </si>
  <si>
    <t>Eco Premium Agarbathi</t>
  </si>
  <si>
    <t>Flute</t>
  </si>
  <si>
    <t>461752e5-ba50-4689-aa7b-5d33e6d84fa7</t>
  </si>
  <si>
    <t>Good Luck Premium Cone</t>
  </si>
  <si>
    <t>Good Luck</t>
  </si>
  <si>
    <t>e8049530-b085-445f-bf90-5fe180951178</t>
  </si>
  <si>
    <t>Good Luck Kewda Agarbathi</t>
  </si>
  <si>
    <t>2a48cf44-ff25-404b-9182-538e92d587d8</t>
  </si>
  <si>
    <t>Good Luck Lavender Dhoop</t>
  </si>
  <si>
    <t>c2c3bed5-967e-48f7-9846-4fec456c4c3d</t>
  </si>
  <si>
    <t>Good Luck Lavender – Calming Premium Incense Sticks for Relaxation</t>
  </si>
  <si>
    <t>3f46f11d-2cc9-483f-8f6d-06156747d3e1</t>
  </si>
  <si>
    <t>Good Luck Mogra Cone</t>
  </si>
  <si>
    <t>a23ae1d7-597f-4dba-addc-f8f3d9094046</t>
  </si>
  <si>
    <t>Good Luck Mogra Dhoop</t>
  </si>
  <si>
    <t>e4f75d7a-e3e9-4ba0-9fe7-b27552cf7299</t>
  </si>
  <si>
    <t>Good Luck Mogra Agarbathi</t>
  </si>
  <si>
    <t>4b3bc682-8420-4df4-960c-4870b9dfc849</t>
  </si>
  <si>
    <t>0a17c8e1-2a5b-41f9-a11a-d792f230fa42</t>
  </si>
  <si>
    <t>Good Luck Musk – Warm &amp; Earthy Premium Incense Sticks</t>
  </si>
  <si>
    <t>0625b75b-ca0a-4b5d-9434-5ee524f4559e</t>
  </si>
  <si>
    <t>7109780b-8746-48b9-bea7-4131165fa38c</t>
  </si>
  <si>
    <t>GoodLuck Rose  Cone 100g</t>
  </si>
  <si>
    <t>7ed4d808-4b4e-4f0a-b659-17ab29aaac35</t>
  </si>
  <si>
    <t>GoodLuck Rose  Dhoop 100g</t>
  </si>
  <si>
    <t>c374aeb6-03de-4822-80a5-c2d6338b3d1b</t>
  </si>
  <si>
    <t>GoodLuck Rose  Agarbathi 220g</t>
  </si>
  <si>
    <t>6ec15eca-0976-4866-9fc2-09662ab54531</t>
  </si>
  <si>
    <t>GoodLuck Rose  Agarbathi 100g</t>
  </si>
  <si>
    <t>e0464514-5f40-4511-8622-d4afef550fbd</t>
  </si>
  <si>
    <t>Good Luck Sandal Agarbathi 220g</t>
  </si>
  <si>
    <t>72e64f47-36ae-4046-97b5-1868da03c6df</t>
  </si>
  <si>
    <t>Good Luck Shivuli Agarbathi 100g</t>
  </si>
  <si>
    <t>9baf08a1-c618-4ec0-88e8-0fb322d1e8d5</t>
  </si>
  <si>
    <t>Good Luck Lavender Agarbathi 220g</t>
  </si>
  <si>
    <t>5a2ccb29-934c-4ba9-a458-0fa2b201a2f1</t>
  </si>
  <si>
    <t>Good Luck Pineapple Agarbathi 220g</t>
  </si>
  <si>
    <t>0de5f394-8e5a-4274-9623-93c66001eff9</t>
  </si>
  <si>
    <t>Good Luck Pineapple Agarbathi 100g</t>
  </si>
  <si>
    <t>65f51764-ef42-42ff-a7aa-d5a66962dbf9</t>
  </si>
  <si>
    <t>Good Luck Sandal Agarbathi 100g</t>
  </si>
  <si>
    <t>9d547637-7e13-4db6-89a6-6a7387144972</t>
  </si>
  <si>
    <t>Lia Chandanam Agarbathi</t>
  </si>
  <si>
    <t>Lia</t>
  </si>
  <si>
    <t>d00f40ba-f1e7-404b-97b9-8c200c64b5e6</t>
  </si>
  <si>
    <t>Lia Darling Flower Agarbathi</t>
  </si>
  <si>
    <t>89829dfa-4827-401b-b8af-b4a51b6e9f21</t>
  </si>
  <si>
    <t>Lia Jas Agarbathi</t>
  </si>
  <si>
    <t>3fea31d7-67ed-4fbf-bf8c-200924b736da</t>
  </si>
  <si>
    <t>Lia Lavenderz Agarbathi</t>
  </si>
  <si>
    <t>b478dd55-a3b1-4d31-9fad-58bdce4427f9</t>
  </si>
  <si>
    <t>Lia Prime Rose Agarbathi</t>
  </si>
  <si>
    <t>ee4f1d51-6762-4a07-a2b2-d80279cfa34a</t>
  </si>
  <si>
    <t>Lia Rain Forest Agarbathi</t>
  </si>
  <si>
    <t>abb2c1c3-4fb5-45d3-8aab-419cabcdb360</t>
  </si>
  <si>
    <t>Lia Rainbow Agarbathi</t>
  </si>
  <si>
    <t>13a03d8b-aafa-424c-9f2d-9fb0c7fee0c0</t>
  </si>
  <si>
    <t>Lia Sacred Grove Agarbathi</t>
  </si>
  <si>
    <t>8f6e3e50-36ff-4d57-9009-0034e289e622</t>
  </si>
  <si>
    <t xml:space="preserve">Medini Premium Judwa Cup Sambrani </t>
  </si>
  <si>
    <t>Medini</t>
  </si>
  <si>
    <t>7dd72127-2e49-43cf-a25b-973d67473bb7</t>
  </si>
  <si>
    <t>Naivedya Cup Sambrani</t>
  </si>
  <si>
    <t>Naivedya</t>
  </si>
  <si>
    <t>b230ab47-691c-4a7f-ba8d-f7e7935d227f</t>
  </si>
  <si>
    <t>Naivedya Jambo Cup Sambrani</t>
  </si>
  <si>
    <t>38ea51e4-e791-48dc-aa38-c11a2e77a352</t>
  </si>
  <si>
    <t>0bc35dc2-c3ff-42f2-8ea1-9c120415cb90</t>
  </si>
  <si>
    <t>b3561b33-7f4f-41db-97f2-053a87d11b78</t>
  </si>
  <si>
    <t>a13ec81e-0166-43fd-b0d3-54bf03e5e8dd</t>
  </si>
  <si>
    <t>Om Shanthi Navin Shining Powder 200g</t>
  </si>
  <si>
    <t>44c55333-5e47-4e54-8fc5-1a49529b4e46</t>
  </si>
  <si>
    <t>Om Shanthi Navin Shining Powder 50g</t>
  </si>
  <si>
    <t>99745404-2508-48e2-816c-bb3e91f5e6ff</t>
  </si>
  <si>
    <t>Om Shanthi Pure Puja Til Oil 900ml</t>
  </si>
  <si>
    <t>Bottle</t>
  </si>
  <si>
    <t>4f0bfe29-db86-4ce6-b356-e7bd09f571d6</t>
  </si>
  <si>
    <t xml:space="preserve">
Om Shanthi Jasmine Pure Puja Oil 1ltr</t>
  </si>
  <si>
    <t>4ccc8d4c-cfa1-4049-9f5f-779aa65f4bce</t>
  </si>
  <si>
    <t>Parijatha Puja Oil - Sampoorna Dhyan ltr</t>
  </si>
  <si>
    <t>b9a6fa95-1127-407f-b449-5506b3f3ccb6</t>
  </si>
  <si>
    <t xml:space="preserve">
Om Shanthi Jasmine Pure Puja Oil 500ml</t>
  </si>
  <si>
    <t>c7ddff99-20c6-4cd4-b99c-a0a8f6d3cd5a</t>
  </si>
  <si>
    <t>Parijatha Puja Oil - Sampoorna Dhyan 500ml</t>
  </si>
  <si>
    <t>6b64fc09-f255-4bbc-9dd8-5b661044f1ba</t>
  </si>
  <si>
    <t>Om Shanthi Pure Puja Til Oil 500ml</t>
  </si>
  <si>
    <t>1b4c3625-cb7a-4109-9c52-7997f07efbc0</t>
  </si>
  <si>
    <t>Om Shanthi Pure Dhuno 75g</t>
  </si>
  <si>
    <t>Container</t>
  </si>
  <si>
    <t>3e3a10d9-0d7f-472d-8771-aba764ea5b61</t>
  </si>
  <si>
    <t>Rhythm Amber Agarbathi</t>
  </si>
  <si>
    <t>Rhythm</t>
  </si>
  <si>
    <t>15d2da6a-2437-4d18-8772-02139daf081a</t>
  </si>
  <si>
    <t>Rhythm Sandal Agarbathi</t>
  </si>
  <si>
    <t>e7dea92d-b270-487e-b363-e1503e13526a</t>
  </si>
  <si>
    <t>Rhythm Saroja Agarbathi</t>
  </si>
  <si>
    <t>b1812b54-1b80-412c-aa7c-d2c3d90972ae</t>
  </si>
  <si>
    <t>Rhythm Amber  Agarbathi</t>
  </si>
  <si>
    <t>cc161247-0877-4c9f-89b4-0043a5ee51d7</t>
  </si>
  <si>
    <t>330b0c91-dfb8-4602-9007-f81fe65333fe</t>
  </si>
  <si>
    <t xml:space="preserve">Sandalum Cones </t>
  </si>
  <si>
    <t>03d0d587-90d0-4acd-815f-904c3b0f431f</t>
  </si>
  <si>
    <t>Sugandha Mallika Agarbathi</t>
  </si>
  <si>
    <t>2214e2ce-edf0-490e-afdc-abcac67da520</t>
  </si>
  <si>
    <t>2731bf85-a61c-49a0-a5ef-f6ade5541ef1</t>
  </si>
  <si>
    <t>9d47e829-9298-4869-ae6e-3ccc667abd37</t>
  </si>
  <si>
    <t>2aa36c3f-a9a4-44cb-b4ab-203281da6b3a</t>
  </si>
  <si>
    <t>Three in One Agarbatti 50g</t>
  </si>
  <si>
    <t>27b9b25b-945e-415f-8d40-a4eb6a174b00</t>
  </si>
  <si>
    <t>Three in One Agarbathi</t>
  </si>
  <si>
    <t>5ecbe6e1-d7a0-4276-be0a-bf891b1c05c6</t>
  </si>
  <si>
    <t>3a334859-0969-492d-b38a-a30f4cef81a2</t>
  </si>
  <si>
    <t>8673a176-1770-49f9-83b5-c200cb6e145b</t>
  </si>
  <si>
    <t>e58b5aa7-25a7-4b78-9019-07c04a08cf3a</t>
  </si>
  <si>
    <t>a94b6dec-7d12-4b8c-841b-81f3fc75e4e4</t>
  </si>
  <si>
    <t>Om Shanthi Turmeric Powder</t>
  </si>
  <si>
    <t>2153c37e-b377-44f3-84ad-101658463c47</t>
  </si>
  <si>
    <t xml:space="preserve">Vasu Loban Sambrani </t>
  </si>
  <si>
    <t>9d9dbc38-2bfe-43c4-84c6-bf1b40d1e96f</t>
  </si>
  <si>
    <t>Om Shanthi Pure Vibhuti 40g</t>
  </si>
  <si>
    <t>4bbde07f-03f8-4ade-b731-2ee8bfc2fec4</t>
  </si>
  <si>
    <t>Woods Premium Natural Agarbathi</t>
  </si>
  <si>
    <t>6f3ab7a1-a730-4fcf-8317-6bd4be7a699d</t>
  </si>
  <si>
    <t>27d777c1-3ddb-4de5-ba4b-2d10bf20e3a1</t>
  </si>
  <si>
    <t>Om Shanthi Pure Kumkum</t>
  </si>
  <si>
    <t xml:space="preserve">Om Shanthi </t>
  </si>
  <si>
    <t>e2167df5-60d4-4e69-bd03-72598abdf9d4</t>
  </si>
  <si>
    <t>8e65b8ba-a814-4e7e-b630-4af6f35c164e</t>
  </si>
  <si>
    <t>Om Shanthi Pure Kumkum (Red)</t>
  </si>
  <si>
    <t>f37cfd1c-e602-4fe1-8bd6-e7bd6592c3c4</t>
  </si>
  <si>
    <t>Lia Car Gel Seashore</t>
  </si>
  <si>
    <t>2b69aa28-5c76-4d50-b3d3-afd039135688</t>
  </si>
  <si>
    <t>Cycle Dhoop Guggal</t>
  </si>
  <si>
    <t>cycle</t>
  </si>
  <si>
    <t>5ff3af64-7921-4a50-9a2e-42ae621906b9</t>
  </si>
  <si>
    <t>Cycle dhoop Rose</t>
  </si>
  <si>
    <t>8be93160-15e6-479b-ae43-6561d609a9c4</t>
  </si>
  <si>
    <t>Flute Assorted Agarbathi</t>
  </si>
  <si>
    <t>5418c38c-c035-4a01-b150-7f9022ecbc95</t>
  </si>
  <si>
    <t xml:space="preserve">Flute Lavani Agarbathi </t>
  </si>
  <si>
    <t>cb4aa20b-b071-4679-906f-67033e426657</t>
  </si>
  <si>
    <t>Gomutra Glass Cleaner</t>
  </si>
  <si>
    <t>76858801-7376-4d47-a4fc-892a25b000df</t>
  </si>
  <si>
    <t>Good Luck Guggal Dhoop</t>
  </si>
  <si>
    <t>8264835e-f318-499e-bae3-9fc47d3fca97</t>
  </si>
  <si>
    <t xml:space="preserve">Lia Assorted Agarbathi </t>
  </si>
  <si>
    <t>a2406b4b-d212-4f10-a6a5-3c57467617d7</t>
  </si>
  <si>
    <t>Lia Cones</t>
  </si>
  <si>
    <t>452f259b-f7d4-4521-bcfb-33852ef6eca7</t>
  </si>
  <si>
    <t>Lia Assorted Agarbatti</t>
  </si>
  <si>
    <t>ac8460a6-b68d-4095-9f70-85464b6bf5a5</t>
  </si>
  <si>
    <t>8c13f7c2-9f9b-43ff-9060-9093aabde603</t>
  </si>
  <si>
    <t>Cycle Long Stick Agarbathi</t>
  </si>
  <si>
    <t>e6da2c38-120d-488a-ac50-25d04a1135bb</t>
  </si>
  <si>
    <t>Parampara Agarbatti</t>
  </si>
  <si>
    <t>bdd08120-e3d3-4118-a32c-635268727ecb</t>
  </si>
  <si>
    <t>Prerana Three in One Agarbathi</t>
  </si>
  <si>
    <t>d71c906f-8519-4d41-ad5e-a00f2ae695f7</t>
  </si>
  <si>
    <t xml:space="preserve">Purespark Match </t>
  </si>
  <si>
    <t>12880d41-ce47-417a-809c-800c90c166e7</t>
  </si>
  <si>
    <t>Cycle Sandalam Regular</t>
  </si>
  <si>
    <t>aad05b03-e818-487a-b87d-3dafa52e429a</t>
  </si>
  <si>
    <t>46225661-4839-4981-ae9a-7b9c34568c16</t>
  </si>
  <si>
    <t>a704e388-afd7-4f50-98bf-032083dc1c8a</t>
  </si>
  <si>
    <t>Cycle Sandalam Solid Dhoop</t>
  </si>
  <si>
    <t>fdf91bf7-3bfb-4d92-9be4-fd15af19be44</t>
  </si>
  <si>
    <t>25b01bbb-51cc-401c-baed-f0d6331bcb46</t>
  </si>
  <si>
    <t>Yagna Natural Agarbathi</t>
  </si>
  <si>
    <t>6620a487-6a3a-4494-a5b7-e807e2cb3429</t>
  </si>
  <si>
    <t>eb1e59fc-25aa-490b-824f-b4ff1d07455d</t>
  </si>
  <si>
    <t>c</t>
  </si>
  <si>
    <t>Measure Unit</t>
  </si>
  <si>
    <t>Weight Measure</t>
  </si>
  <si>
    <t>Category</t>
  </si>
  <si>
    <t>Returnable</t>
  </si>
  <si>
    <t>Cancellable</t>
  </si>
  <si>
    <t>Available on COD</t>
  </si>
  <si>
    <t>Time to Ship</t>
  </si>
  <si>
    <t>Country of Origin</t>
  </si>
  <si>
    <t>Status</t>
  </si>
  <si>
    <t>Pc</t>
  </si>
  <si>
    <t>Atta, Flours &amp; Sooji</t>
  </si>
  <si>
    <t>Yes</t>
  </si>
  <si>
    <t>24 hours</t>
  </si>
  <si>
    <t>India</t>
  </si>
  <si>
    <t>Active</t>
  </si>
  <si>
    <t>0%</t>
  </si>
  <si>
    <t>Bakery, Cakes &amp; Dairy</t>
  </si>
  <si>
    <t>No</t>
  </si>
  <si>
    <t>36 hours</t>
  </si>
  <si>
    <t>Bangladesh</t>
  </si>
  <si>
    <t>Inactive</t>
  </si>
  <si>
    <t>3%</t>
  </si>
  <si>
    <t>1%</t>
  </si>
  <si>
    <t/>
  </si>
  <si>
    <t>48 hours</t>
  </si>
  <si>
    <t>Sri Lanka</t>
  </si>
  <si>
    <t>5%</t>
  </si>
  <si>
    <t>Beverages</t>
  </si>
  <si>
    <t>Nepal</t>
  </si>
  <si>
    <t>12%</t>
  </si>
  <si>
    <t>Sachet</t>
  </si>
  <si>
    <t>Biscuits, Snacks &amp; Namkeen</t>
  </si>
  <si>
    <t>Bhutan</t>
  </si>
  <si>
    <t>18%</t>
  </si>
  <si>
    <t>Bag</t>
  </si>
  <si>
    <t>Cooking Oils &amp; Ghee</t>
  </si>
  <si>
    <t>China</t>
  </si>
  <si>
    <t>28%</t>
  </si>
  <si>
    <t>22%</t>
  </si>
  <si>
    <t>Lamination Bag</t>
  </si>
  <si>
    <t>Dairy &amp; Cheese</t>
  </si>
  <si>
    <t>Other</t>
  </si>
  <si>
    <t>Dals &amp; Pulses</t>
  </si>
  <si>
    <t>Pet Bottle</t>
  </si>
  <si>
    <t>Detergents</t>
  </si>
  <si>
    <t>Jar</t>
  </si>
  <si>
    <t>Dry Fruits</t>
  </si>
  <si>
    <t>Pet Jar</t>
  </si>
  <si>
    <t>Eggs, Meat &amp; Fish</t>
  </si>
  <si>
    <t>Foodgrains, Oil &amp; Masala</t>
  </si>
  <si>
    <t>Tin</t>
  </si>
  <si>
    <t>Fruit Juices</t>
  </si>
  <si>
    <t>Can</t>
  </si>
  <si>
    <t>Frozen Snacks</t>
  </si>
  <si>
    <t>Case</t>
  </si>
  <si>
    <t>Frozen Vegetables</t>
  </si>
  <si>
    <t>Tube</t>
  </si>
  <si>
    <t>Fruits and Vegetables</t>
  </si>
  <si>
    <t>Tetra Pack</t>
  </si>
  <si>
    <t>Gift Voucher</t>
  </si>
  <si>
    <t>Gourmet &amp; World Foods</t>
  </si>
  <si>
    <t>Set</t>
  </si>
  <si>
    <t>Indian Sweets</t>
  </si>
  <si>
    <t>Pad</t>
  </si>
  <si>
    <t>Kitchen Accessories</t>
  </si>
  <si>
    <t>Refill</t>
  </si>
  <si>
    <t>Masala &amp; Seasoning</t>
  </si>
  <si>
    <t>Oats &amp; Noodles</t>
  </si>
  <si>
    <t>Ladi</t>
  </si>
  <si>
    <t>Oil &amp; Ghee</t>
  </si>
  <si>
    <t>Bundle</t>
  </si>
  <si>
    <t>Pasta &amp; Soup</t>
  </si>
  <si>
    <t>Loose</t>
  </si>
  <si>
    <t>Pet Care</t>
  </si>
  <si>
    <t>Pickles &amp; Podis</t>
  </si>
  <si>
    <t>Ready to Cook</t>
  </si>
  <si>
    <t>Rice</t>
  </si>
  <si>
    <t>New Born</t>
  </si>
  <si>
    <t>Salt &amp; Sugar</t>
  </si>
  <si>
    <t>Small</t>
  </si>
  <si>
    <t>Snacks, Dry Fruits &amp; Nuts</t>
  </si>
  <si>
    <t>Medium</t>
  </si>
  <si>
    <t>Sugar &amp; Spices</t>
  </si>
  <si>
    <t>Large</t>
  </si>
  <si>
    <t>Snacks &amp; Branded Foods</t>
  </si>
  <si>
    <t>Extra Large</t>
  </si>
  <si>
    <t>Spreads, Sauces &amp; Ketchups</t>
  </si>
  <si>
    <t>XXL</t>
  </si>
  <si>
    <t>Tea &amp; Coffee</t>
  </si>
  <si>
    <t>XXXL</t>
  </si>
  <si>
    <t>Tinned &amp; Processed Foods</t>
  </si>
  <si>
    <t>Field</t>
  </si>
  <si>
    <t>Mandatory / Optional</t>
  </si>
  <si>
    <t>Format</t>
  </si>
  <si>
    <t>Validation Rules</t>
  </si>
  <si>
    <t>Example</t>
  </si>
  <si>
    <t>SKU Code</t>
  </si>
  <si>
    <t>Mandatory</t>
  </si>
  <si>
    <t>Letters/digits/-/_</t>
  </si>
  <si>
    <t>Required. Alphanumeric (letters, digits, dashes, underscores). Must be unique within the file and not collide with an existing SKU.</t>
  </si>
  <si>
    <t>180000005</t>
  </si>
  <si>
    <t>SKU Name</t>
  </si>
  <si>
    <t>3–100 chars</t>
  </si>
  <si>
    <t>Required. 3 to 100 characters. Plain text.</t>
  </si>
  <si>
    <t>FREEDOM REF. SUNFLOWER OIL 15 KG. TIN</t>
  </si>
  <si>
    <t>Optional</t>
  </si>
  <si>
    <t>Up to 100 chars</t>
  </si>
  <si>
    <t>Optional. Up to 100 characters. Pick an existing group from the dropdown OR type a new one — new values get added to the group master.</t>
  </si>
  <si>
    <t>Freedom Model</t>
  </si>
  <si>
    <t>Short Description</t>
  </si>
  <si>
    <t>10–150 chars</t>
  </si>
  <si>
    <t>Required. 10 to 150 characters. Plain text only — no links or HTML.</t>
  </si>
  <si>
    <t>Premium refined sunflower oil, 15 kg tin</t>
  </si>
  <si>
    <t>Long Description</t>
  </si>
  <si>
    <t>Up to 200 chars</t>
  </si>
  <si>
    <t>Optional. Up to 200 characters. Plain text only.</t>
  </si>
  <si>
    <t>Filtered for clarity, suitable for high-temperature cooking.</t>
  </si>
  <si>
    <t>Dropdown</t>
  </si>
  <si>
    <t>Required. Pick the SKU's measurement unit from the dropdown.</t>
  </si>
  <si>
    <t>Unit value</t>
  </si>
  <si>
    <t>Free text</t>
  </si>
  <si>
    <t>Required. The pack size value paired with Measure Unit (e.g. 1.5 for a 1.5 L bottle).</t>
  </si>
  <si>
    <t>1.5</t>
  </si>
  <si>
    <t>Required. Pick the unit for SKU Weight — Gram or Kilogram.</t>
  </si>
  <si>
    <t>SKU Weight</t>
  </si>
  <si>
    <t>Positive number &gt; 0</t>
  </si>
  <si>
    <t>Required. Positive number (decimals allowed). Paired with Weight Measure (e.g. 15 + Kilogram = 15 kg).</t>
  </si>
  <si>
    <t>15</t>
  </si>
  <si>
    <t>Pack Size</t>
  </si>
  <si>
    <t>Whole number ≥ 1</t>
  </si>
  <si>
    <t>Optional. Positive whole number when filled.</t>
  </si>
  <si>
    <t>1</t>
  </si>
  <si>
    <t>Optional. Pick the physical container the SKU ships in (Pouch, Bottle, Tin, etc.).</t>
  </si>
  <si>
    <t>Positive number</t>
  </si>
  <si>
    <t>Optional. Numeric value paired with Package Type (e.g. 12 for a 12-bottle case). Decimals allowed.</t>
  </si>
  <si>
    <t>12</t>
  </si>
  <si>
    <t>Numeric</t>
  </si>
  <si>
    <t>Optional. Numeric value.</t>
  </si>
  <si>
    <t>8901234567890</t>
  </si>
  <si>
    <t>Min Order Quantity</t>
  </si>
  <si>
    <t>Required. Positive whole number. Cannot be greater than Max Order Quantity.</t>
  </si>
  <si>
    <t>Max Order Quantity</t>
  </si>
  <si>
    <t>Required. Positive whole number. Cannot be less than Min Order Quantity.</t>
  </si>
  <si>
    <t>100</t>
  </si>
  <si>
    <t>Required. Pick a category from the admin-managed list.</t>
  </si>
  <si>
    <t>Yes / No</t>
  </si>
  <si>
    <t>Required. Phase 1 default: No.</t>
  </si>
  <si>
    <t>Required. Phase 1 default: Yes.</t>
  </si>
  <si>
    <t>Required. Pick the dispatch window.</t>
  </si>
  <si>
    <t>Customer Care Name</t>
  </si>
  <si>
    <t>Letters only</t>
  </si>
  <si>
    <t>Required. Alphabetical characters only.</t>
  </si>
  <si>
    <t>Customer Support</t>
  </si>
  <si>
    <t>Customer Care Email</t>
  </si>
  <si>
    <t>Valid email</t>
  </si>
  <si>
    <t>Required. Valid email address (name@domain.tld).</t>
  </si>
  <si>
    <t>support@example.com</t>
  </si>
  <si>
    <t>Customer Care Phone</t>
  </si>
  <si>
    <t>10 digits</t>
  </si>
  <si>
    <t>Required. Exactly 10 digits, numeric only.</t>
  </si>
  <si>
    <t>9876543210</t>
  </si>
  <si>
    <t>Manufacturer</t>
  </si>
  <si>
    <t>Linked company</t>
  </si>
  <si>
    <t>Required. Must match a company linked to your seller account (see Manage Seller → Companies &amp; Brands).</t>
  </si>
  <si>
    <t>ITC Limited</t>
  </si>
  <si>
    <t>Brand</t>
  </si>
  <si>
    <t>Linked brand</t>
  </si>
  <si>
    <t>Required. Must be a brand under the selected Manufacturer.</t>
  </si>
  <si>
    <t>Aashirvaad</t>
  </si>
  <si>
    <t>Manufacturer Address</t>
  </si>
  <si>
    <t>10–250 chars</t>
  </si>
  <si>
    <t>Optional. 10 to 250 characters when filled. Should include a 6-digit PIN.</t>
  </si>
  <si>
    <t>Plot 14, MIDC, Mumbai 400072</t>
  </si>
  <si>
    <t>Required. Default: India.</t>
  </si>
  <si>
    <t>Required. Active SKUs are visible to buyers; Inactive SKUs are hidden.</t>
  </si>
  <si>
    <t>8-digit code</t>
  </si>
  <si>
    <t>Optional. 8-digit Harmonised System Nomenclature code for this product.</t>
  </si>
  <si>
    <t>15121900</t>
  </si>
  <si>
    <t>Optional. GST slab applicable on this product.</t>
  </si>
  <si>
    <t>Optional. Additional cess on top of GST, if applicable.</t>
  </si>
  <si>
    <t>Flute Assorted Agarbathi, 10 Gm</t>
  </si>
  <si>
    <t>Cycle dhoop Rose, 100 Gm</t>
  </si>
  <si>
    <t>Cycle Dhoop Guggal, 100 Gm</t>
  </si>
  <si>
    <t>Lia Car Gel Seashore, 45 Gm</t>
  </si>
  <si>
    <t>Om Shanthi Pure Kumkum (Red), 35 Gm</t>
  </si>
  <si>
    <t>Om Shanthi Pure Kumkum, 40 Gm</t>
  </si>
  <si>
    <t>Om Shanthi Pure Kumkum, 25 Gm</t>
  </si>
  <si>
    <t>Woods Premium Natural Agarbathi, 14 Gm</t>
  </si>
  <si>
    <t>Woods Premium Natural Agarbathi, 40 Gm</t>
  </si>
  <si>
    <t>Om Shanthi Pure Vibhuti 40g, 40 Gm</t>
  </si>
  <si>
    <t>Vasu Loban Sambrani , 10 Pcs</t>
  </si>
  <si>
    <t>Om Shanthi Turmeric Powder, 20 Gm</t>
  </si>
  <si>
    <t>Three in One Agarbathi, 88 Pcs</t>
  </si>
  <si>
    <t>Three in One Agarbathi, 5 Gm</t>
  </si>
  <si>
    <t>Three in One Agarbathi, 27 Gm</t>
  </si>
  <si>
    <t>Three in One Agarbathi, 202 Gm</t>
  </si>
  <si>
    <t>Three in One Agarbathi, 9 Pcs</t>
  </si>
  <si>
    <t>Three in One Agarbatti 50g, 50 Gm</t>
  </si>
  <si>
    <t>Sugandha Mallika Agarbathi, 26 Gm</t>
  </si>
  <si>
    <t>Sugandha Mallika Agarbathi, 95 Gm</t>
  </si>
  <si>
    <t>Sugandha Mallika Agarbathi, 250 Gm</t>
  </si>
  <si>
    <t>Sugandha Mallika Agarbathi, 12 Gm</t>
  </si>
  <si>
    <t>Sandalum Cones , 8 Pcs</t>
  </si>
  <si>
    <t>Rhythm Sandal Agarbathi, 54 Gm</t>
  </si>
  <si>
    <t>Rhythm Amber  Agarbathi, 54 Gm</t>
  </si>
  <si>
    <t>Rhythm Saroja Agarbathi, 97 Gm</t>
  </si>
  <si>
    <t>Rhythm Sandal Agarbathi, 97 Gm</t>
  </si>
  <si>
    <t>Rhythm Amber Agarbathi, 45 Gm</t>
  </si>
  <si>
    <t>Om Shanthi Pure Dhuno 75g, 75 Gm</t>
  </si>
  <si>
    <t>Om Shanthi Pure Puja Til Oil 500ml, 500 Ml</t>
  </si>
  <si>
    <t>Parijatha Puja Oil - Sampoorna Dhyan 500ml, 500 Ml</t>
  </si>
  <si>
    <t xml:space="preserve">
Om Shanthi Jasmine Pure Puja Oil 500ml, 500 Ml</t>
  </si>
  <si>
    <t>Parijatha Puja Oil - Sampoorna Dhyan ltr, 1 L</t>
  </si>
  <si>
    <t xml:space="preserve">
Om Shanthi Jasmine Pure Puja Oil 1ltr, 1 L</t>
  </si>
  <si>
    <t>Om Shanthi Pure Puja Til Oil 900ml, 900 Ml</t>
  </si>
  <si>
    <t>Om Shanthi Navin Shining Powder 50g, 50 Gm</t>
  </si>
  <si>
    <t>Om Shanthi Navin Shining Powder 200g, 200 Gm</t>
  </si>
  <si>
    <t>Naivedya Cup Sambrani, 12 Pcs</t>
  </si>
  <si>
    <t>Naivedya Cup Sambrani, 8 Pcs</t>
  </si>
  <si>
    <t>Naivedya Jambo Cup Sambrani, 3 Pcs</t>
  </si>
  <si>
    <t>Naivedya Cup Sambrani, 72 Pcs</t>
  </si>
  <si>
    <t>Medini Premium Judwa Cup Sambrani , 35 Pcs</t>
  </si>
  <si>
    <t>Lia Sacred Grove Agarbathi, 100 Gm</t>
  </si>
  <si>
    <t>Lia Rainbow Agarbathi, 100 Gm</t>
  </si>
  <si>
    <t>Lia Rain Forest Agarbathi, 100 Gm</t>
  </si>
  <si>
    <t>Lia Prime Rose Agarbathi, 100 Gm</t>
  </si>
  <si>
    <t>Lia Lavenderz Agarbathi, 100 Gm</t>
  </si>
  <si>
    <t>Lia Jas Agarbathi, 100 Gm</t>
  </si>
  <si>
    <t>Lia Darling Flower Agarbathi, 100 Gm</t>
  </si>
  <si>
    <t>Lia Chandanam Agarbathi, 100 Gm</t>
  </si>
  <si>
    <t>Good Luck Sandal Agarbathi 100g, 100 Gm</t>
  </si>
  <si>
    <t>Good Luck Pineapple Agarbathi 100g, 100 Gm</t>
  </si>
  <si>
    <t>Good Luck Pineapple Agarbathi 220g, 220 Gm</t>
  </si>
  <si>
    <t>Good Luck Lavender Agarbathi 220g, 220 Gm</t>
  </si>
  <si>
    <t>Good Luck Shivuli Agarbathi 100g, 100 Gm</t>
  </si>
  <si>
    <t>Good Luck Sandal Agarbathi 220g, 220 Gm</t>
  </si>
  <si>
    <t>GoodLuck Rose  Agarbathi 100g, 100 Gm</t>
  </si>
  <si>
    <t>GoodLuck Rose  Agarbathi 220g, 220 Gm</t>
  </si>
  <si>
    <t>GoodLuck Rose  Dhoop 100g, 100 Gm</t>
  </si>
  <si>
    <t>GoodLuck Rose  Cone 100g, 100 Gm</t>
  </si>
  <si>
    <t>Good Luck Musk – Warm &amp; Earthy Premium Incense Sticks, 100 Gm</t>
  </si>
  <si>
    <t>Good Luck Musk – Warm &amp; Earthy Premium Incense Sticks, 220 Gm</t>
  </si>
  <si>
    <t>Good Luck Mogra Agarbathi, 100 Gm</t>
  </si>
  <si>
    <t>Good Luck Mogra Agarbathi, 220 Gm</t>
  </si>
  <si>
    <t>Good Luck Mogra Dhoop, 100 Gm</t>
  </si>
  <si>
    <t>Good Luck Mogra Cone, 100 Gm</t>
  </si>
  <si>
    <t>Good Luck Lavender – Calming Premium Incense Sticks for Relaxation, 100 Gm</t>
  </si>
  <si>
    <t>Good Luck Lavender Dhoop, 100 Gm</t>
  </si>
  <si>
    <t>Good Luck Kewda Agarbathi, 100 Gm</t>
  </si>
  <si>
    <t>Good Luck Premium Cone, 100 Gm</t>
  </si>
  <si>
    <t>Eco Premium Agarbathi, 175 Gm</t>
  </si>
  <si>
    <t>Cycle Sambrani, 14 Pcs</t>
  </si>
  <si>
    <t>Om Shanthi Pure Cotton Wicks (Samai Watt), 60 Pcs</t>
  </si>
  <si>
    <t>Om Shanthi Pure Cotton Wicks (Mogra Watt), 50 Pcs</t>
  </si>
  <si>
    <t>Cycle Om Shanthi Camphor, 52 Gm</t>
  </si>
  <si>
    <t>Cycle Om Shanthi Camphor, 50 Gm</t>
  </si>
  <si>
    <t>Cycle Om Shanthi Camphor, 12 Gm</t>
  </si>
  <si>
    <t>Cycle Karpure Oudh Camphor, 60 Gm</t>
  </si>
  <si>
    <t>Cycle Karpure Citrus Camphor , 60 Gm</t>
  </si>
  <si>
    <t>Grb Cow Ghee, 500 Ml</t>
  </si>
  <si>
    <t>Grb Cow Ghee, 50 Ml</t>
  </si>
  <si>
    <t>Grb Cow Ghee, 200 Ml</t>
  </si>
  <si>
    <t>Grb Cow Ghee, 20 Ml</t>
  </si>
  <si>
    <t>Grb Cow Ghee, 100 Ml</t>
  </si>
  <si>
    <t>Grb Cow Ghee, 10 Ml</t>
  </si>
  <si>
    <t>Grb Cow Ghee, 1 L</t>
  </si>
  <si>
    <t>Grb Buffelo Ghee, 500 Ml</t>
  </si>
  <si>
    <t>Grb Buffelo Ghee, 50 Ml</t>
  </si>
  <si>
    <t>Grb Buffelo Ghee, 200 Ml</t>
  </si>
  <si>
    <t>Grb Buffelo Ghee, 20 Ml</t>
  </si>
  <si>
    <t>Grb Buffelo Ghee, 100 Ml</t>
  </si>
  <si>
    <t>Grb Buffelo Ghee, 10 Ml</t>
  </si>
  <si>
    <t>Grb Buffelo Ghee, 1 L</t>
  </si>
  <si>
    <t>Priya Urad Dal Papad - Plain, 100 Gm</t>
  </si>
  <si>
    <t>Priya Turmeric (Haldi) Powder, 500 Gm</t>
  </si>
  <si>
    <t>Priya Turmeric (Haldi) Powder, 200 Gm</t>
  </si>
  <si>
    <t>Priya Turmeric (Haldi) Powder, 50 Gm</t>
  </si>
  <si>
    <t>Priya Turmeric (Haldi) Powder, 100 Gm</t>
  </si>
  <si>
    <t>Priya Turmeric (Haldi) Powder, 20 Gm</t>
  </si>
  <si>
    <t>Priya Tomato Pickle, 300 Gm</t>
  </si>
  <si>
    <t>Priya Tomato Pickle, 40 Gm</t>
  </si>
  <si>
    <t>Priya Tamarind Paste, 100 Gm</t>
  </si>
  <si>
    <t>Priya Premium Sambar Powder, 8 Gm</t>
  </si>
  <si>
    <t>Priya Red Chilli Pickle, 40 Gm</t>
  </si>
  <si>
    <t>Priya Red Chilli Pickle, 300 Gm</t>
  </si>
  <si>
    <t>Priya Premium Rasam Powder, 8 Gm</t>
  </si>
  <si>
    <t>Ramya Tomato Pickle, 500 Gm</t>
  </si>
  <si>
    <t>Ramya Tomato Pickle, 1 Kg</t>
  </si>
  <si>
    <t>Ramya Mango Avkaya Pickle, 500 Gm</t>
  </si>
  <si>
    <t>Ramya Mango Avkaya Pickle, 1 Kg</t>
  </si>
  <si>
    <t>Priya Non Veg Curry Masala Paste, 90 Gm</t>
  </si>
  <si>
    <t>Priya Non Veg Curry Masala Paste, 25 Gm</t>
  </si>
  <si>
    <t>Priya Mixed Vegetable Pickle, 40 Gm</t>
  </si>
  <si>
    <t>Priya Mixed Vegetable Pickle, 300 Gm</t>
  </si>
  <si>
    <t>Priya Meat Masala, 8 Gm</t>
  </si>
  <si>
    <t>Priya Papad Masala Appalam, 100 Gm</t>
  </si>
  <si>
    <t>Priya Mango Thokku Pickle, 40 Gm</t>
  </si>
  <si>
    <t>Priya Mango Thokku Pickle, 300 Gm</t>
  </si>
  <si>
    <t>Priya Mango Avakaya Pickle, 1 Kg</t>
  </si>
  <si>
    <t>Priya Mango Avakaya Pickle, 40 Gm</t>
  </si>
  <si>
    <t>Priya Mango Avakaya Pickle, 300 Gm</t>
  </si>
  <si>
    <t>Priya Lime Pickle in Lime Juice, 40 Gm</t>
  </si>
  <si>
    <t>Priya Lime Pickle in Lime Juice, 300 Gm</t>
  </si>
  <si>
    <t>Priya Papad Jeera Appalam, 100 Gm</t>
  </si>
  <si>
    <t>Priya Hyderabadi Chicken Biryani Masala, 8 Gm</t>
  </si>
  <si>
    <t>Priya Instant Gulab Jamun Mix , 175 Gm</t>
  </si>
  <si>
    <t>Priya Green Tamarind Pickle Without Garlic, 300 Gm</t>
  </si>
  <si>
    <t>Priya Gongura Pickle, 40 Gm</t>
  </si>
  <si>
    <t>Priya Gongura Pickle, 300 Gm</t>
  </si>
  <si>
    <t>Priya Ginger Pickle, 40 Gm</t>
  </si>
  <si>
    <t>Priya Ginger Pickle, 300 Gm</t>
  </si>
  <si>
    <t>Priya Ginger Garlic Paste, 15 Gm</t>
  </si>
  <si>
    <t>Priya Ginger Garlic Paste, 30 Gm</t>
  </si>
  <si>
    <t>Priya Ginger Garlic Paste , 100 Gm</t>
  </si>
  <si>
    <t>Priya Ginger Garlic Paste, 200 Gm</t>
  </si>
  <si>
    <t>Priya Ginger Garlic Paste, 300 Gm</t>
  </si>
  <si>
    <t>Priya Garlic Pickle (Lahsun Ka Aachar), 300 Gm</t>
  </si>
  <si>
    <t>Priya Garam Masala, 8 Gm</t>
  </si>
  <si>
    <t>Priya Catla Fish Masala, 8 Gm</t>
  </si>
  <si>
    <t>Priya Fish - Fry Masala, 8 Gm</t>
  </si>
  <si>
    <t>Priya Egg Masala, 8 Gm</t>
  </si>
  <si>
    <t>Priya Coriander Powder, 500 Gm</t>
  </si>
  <si>
    <t>Priya Coriander Powder, 100 Gm</t>
  </si>
  <si>
    <t>Priya Coriander Powder, 15 Gm</t>
  </si>
  <si>
    <t>Priya Delite Ginger Garlic Paste, 500 Gm</t>
  </si>
  <si>
    <t>Priya Delite Ginger Garlic Paste, 1 Kg</t>
  </si>
  <si>
    <t>Priya Cut Mango Pickle, 300 Gm</t>
  </si>
  <si>
    <t>Priya Premium Chilli Powder, 500 Gm</t>
  </si>
  <si>
    <t>Priya Premium Chilli Powder, 50 Gm</t>
  </si>
  <si>
    <t>Priya Premium Chilli Powder, 200 Gm</t>
  </si>
  <si>
    <t>Priya Premium Chilli Powder, 100 Gm</t>
  </si>
  <si>
    <t>Priya Premium Chilli Powder, 12 Gm</t>
  </si>
  <si>
    <t>Priya Chicken Masala Powder, 8 Gm</t>
  </si>
  <si>
    <t>Priya Biryani Masala Powder , 8 Gm</t>
  </si>
  <si>
    <t>Priya Biryani Masala Paste, 90 Gm</t>
  </si>
  <si>
    <t>Priya Amla Pickle, 300 Gm</t>
  </si>
  <si>
    <t>Ajay 109 - Thoothbrush, Pack of 1</t>
  </si>
  <si>
    <t>Ajay 101 - Soft Quest Thoothbrush 3+1 Offer, Pack of 1</t>
  </si>
  <si>
    <t>Ajay 101 - Medium Quest Thoothbrush 3+1 Offer, Pack of 1</t>
  </si>
  <si>
    <t>Ajay Shaving Brush, Pack of 1</t>
  </si>
  <si>
    <t>Ajay 121 - Compact Thoothbrush, 12 Pcs</t>
  </si>
  <si>
    <t>Ajay 110 - Prime Thoothbrush, 9 Pcs</t>
  </si>
  <si>
    <t>Ajay 109 - Sensitive Plus Thoothbrush, 7 Pcs</t>
  </si>
  <si>
    <t>Ajay 109 - Sensitive Plus Thoothbrush, 32 Pcs</t>
  </si>
  <si>
    <t>Ajay 108 - Thoothbrush, 12 Pcs</t>
  </si>
  <si>
    <t>Ajay 107 - Complete Thoothbrush, 12 Pcs</t>
  </si>
  <si>
    <t>Ajay 104 - Comfort Thoothbrush, 12 Pcs</t>
  </si>
  <si>
    <t>Ajay 103 - Junior Complete Thoothbrush, 12 Pcs</t>
  </si>
  <si>
    <t>Ajay 101 - Soft Quest Thoothbrush, 12 Pcs</t>
  </si>
  <si>
    <t>Ajay 101 - Soft Thoothbrush, 50 Pcs</t>
  </si>
  <si>
    <t>Ajay 101 - Medium Quest Thoothbrush, 12 Pcs</t>
  </si>
  <si>
    <t>Ajay 101 - Medium Hard Thoothbrush , 50 Pcs</t>
  </si>
  <si>
    <t>Ajay 101 - Hard Thoothbrush , 50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</si>
</sst>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1E3A8A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3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9" fontId="0" fillId="0" borderId="4" xfId="0" applyNumberFormat="1" applyBorder="1" applyAlignment="1">
      <alignment horizontal="left"/>
    </xf>
    <xf numFmtId="11" fontId="0" fillId="0" borderId="4" xfId="0" applyNumberForma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9"/>
  <sheetViews>
    <sheetView tabSelected="1" workbookViewId="0">
      <pane ySplit="1" topLeftCell="A3" activePane="bottomLeft" state="frozen"/>
      <selection pane="bottomLeft" activeCell="B4" sqref="B4"/>
    </sheetView>
  </sheetViews>
  <sheetFormatPr defaultColWidth="9.109375" defaultRowHeight="14.4" x14ac:dyDescent="0.3"/>
  <cols>
    <col min="1" max="1" width="36.33203125" style="6" bestFit="1" customWidth="1"/>
    <col min="2" max="3" width="42" style="6" bestFit="1" customWidth="1"/>
    <col min="4" max="4" width="18.5546875" style="6" bestFit="1" customWidth="1"/>
    <col min="5" max="5" width="17.88671875" style="6" bestFit="1" customWidth="1"/>
    <col min="6" max="6" width="18.5546875" style="6" bestFit="1" customWidth="1"/>
    <col min="7" max="7" width="26" style="6" bestFit="1" customWidth="1"/>
    <col min="8" max="8" width="23.109375" style="6" bestFit="1" customWidth="1"/>
    <col min="9" max="9" width="15.44140625" style="6" bestFit="1" customWidth="1"/>
    <col min="10" max="10" width="4.88671875" style="6" bestFit="1" customWidth="1"/>
    <col min="11" max="11" width="11.88671875" style="6" bestFit="1" customWidth="1"/>
    <col min="12" max="12" width="10.109375" style="6" bestFit="1" customWidth="1"/>
    <col min="13" max="13" width="16.6640625" style="6" bestFit="1" customWidth="1"/>
    <col min="14" max="14" width="21.44140625" style="6" bestFit="1" customWidth="1"/>
    <col min="15" max="15" width="18.5546875" style="6" bestFit="1" customWidth="1"/>
    <col min="16" max="16" width="32.109375" style="6" bestFit="1" customWidth="1"/>
    <col min="17" max="17" width="20.5546875" style="6" bestFit="1" customWidth="1"/>
    <col min="18" max="18" width="18" style="6" bestFit="1" customWidth="1"/>
    <col min="19" max="20" width="16.6640625" style="6" bestFit="1" customWidth="1"/>
    <col min="21" max="16384" width="9.109375" style="6"/>
  </cols>
  <sheetData>
    <row r="1" spans="1:25" ht="2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Y1" s="6" t="str" cm="1">
        <f t="array" ref="Y1:Y10">_xlfn.UNIQUE(D:D)</f>
        <v>Measure Unit *</v>
      </c>
    </row>
    <row r="2" spans="1:25" ht="19.95" customHeight="1" x14ac:dyDescent="0.3">
      <c r="A2" s="7" t="s">
        <v>20</v>
      </c>
      <c r="B2" s="8"/>
      <c r="C2" s="7" t="s">
        <v>21</v>
      </c>
      <c r="D2" s="7" t="s">
        <v>22</v>
      </c>
      <c r="E2" s="7" t="s">
        <v>23</v>
      </c>
      <c r="F2" s="7" t="s">
        <v>22</v>
      </c>
      <c r="G2" s="7" t="s">
        <v>24</v>
      </c>
      <c r="H2" s="7" t="s">
        <v>25</v>
      </c>
      <c r="I2" s="7" t="s">
        <v>26</v>
      </c>
      <c r="J2" s="7"/>
      <c r="K2" s="7"/>
      <c r="L2" s="7"/>
      <c r="M2" s="7" t="s">
        <v>27</v>
      </c>
      <c r="N2" s="7" t="s">
        <v>28</v>
      </c>
      <c r="O2" s="7" t="s">
        <v>22</v>
      </c>
      <c r="P2" s="7" t="s">
        <v>29</v>
      </c>
      <c r="Q2" s="7" t="s">
        <v>30</v>
      </c>
      <c r="R2" s="7" t="s">
        <v>31</v>
      </c>
      <c r="S2" s="7" t="s">
        <v>27</v>
      </c>
      <c r="T2" s="7" t="s">
        <v>27</v>
      </c>
      <c r="Y2" s="6" t="str">
        <v>Mandatory · Dropdown</v>
      </c>
    </row>
    <row r="3" spans="1:25" x14ac:dyDescent="0.3">
      <c r="A3" s="6" t="s">
        <v>32</v>
      </c>
      <c r="B3" s="8" t="s">
        <v>749</v>
      </c>
      <c r="C3" s="6" t="s">
        <v>33</v>
      </c>
      <c r="D3" s="6" t="s">
        <v>34</v>
      </c>
      <c r="E3" s="6">
        <v>50</v>
      </c>
      <c r="F3" s="6" t="s">
        <v>35</v>
      </c>
      <c r="G3" s="6">
        <v>50</v>
      </c>
      <c r="H3" s="6">
        <v>50</v>
      </c>
      <c r="I3" s="6">
        <f>16*50</f>
        <v>800</v>
      </c>
      <c r="J3" s="6">
        <f>1000/50</f>
        <v>20</v>
      </c>
      <c r="K3" s="6">
        <f>660/50</f>
        <v>13.2</v>
      </c>
      <c r="M3" s="6" t="s">
        <v>36</v>
      </c>
      <c r="N3" s="6">
        <v>1</v>
      </c>
      <c r="O3" s="6" t="s">
        <v>37</v>
      </c>
      <c r="P3" s="6" t="s">
        <v>38</v>
      </c>
      <c r="Q3" s="6" t="s">
        <v>39</v>
      </c>
      <c r="R3" s="6">
        <v>96032100</v>
      </c>
      <c r="S3" s="9">
        <v>0.05</v>
      </c>
      <c r="T3" s="9">
        <v>0</v>
      </c>
      <c r="Y3" s="6" t="str">
        <v>Pcs</v>
      </c>
    </row>
    <row r="4" spans="1:25" x14ac:dyDescent="0.3">
      <c r="A4" s="6" t="s">
        <v>40</v>
      </c>
      <c r="B4" s="8" t="s">
        <v>748</v>
      </c>
      <c r="C4" s="6" t="s">
        <v>41</v>
      </c>
      <c r="D4" s="6" t="s">
        <v>34</v>
      </c>
      <c r="E4" s="6">
        <v>50</v>
      </c>
      <c r="F4" s="6" t="s">
        <v>35</v>
      </c>
      <c r="G4" s="6">
        <v>50</v>
      </c>
      <c r="H4" s="6">
        <v>50</v>
      </c>
      <c r="I4" s="6">
        <f>16*50</f>
        <v>800</v>
      </c>
      <c r="J4" s="6">
        <f>1000/50</f>
        <v>20</v>
      </c>
      <c r="K4" s="6">
        <f>660/50</f>
        <v>13.2</v>
      </c>
      <c r="M4" s="6" t="s">
        <v>36</v>
      </c>
      <c r="N4" s="6">
        <v>1</v>
      </c>
      <c r="P4" s="6" t="s">
        <v>38</v>
      </c>
      <c r="Q4" s="6" t="s">
        <v>39</v>
      </c>
      <c r="R4" s="6">
        <v>96032100</v>
      </c>
      <c r="S4" s="9">
        <v>0.05</v>
      </c>
      <c r="T4" s="9">
        <v>0</v>
      </c>
      <c r="Y4" s="6" t="str">
        <v>Pack</v>
      </c>
    </row>
    <row r="5" spans="1:25" x14ac:dyDescent="0.3">
      <c r="A5" s="10" t="s">
        <v>42</v>
      </c>
      <c r="B5" s="8" t="s">
        <v>747</v>
      </c>
      <c r="C5" s="6" t="s">
        <v>43</v>
      </c>
      <c r="D5" s="6" t="s">
        <v>34</v>
      </c>
      <c r="E5" s="6">
        <v>12</v>
      </c>
      <c r="F5" s="6" t="s">
        <v>35</v>
      </c>
      <c r="G5" s="6">
        <v>12</v>
      </c>
      <c r="H5" s="6">
        <v>12</v>
      </c>
      <c r="I5" s="6">
        <f>60*12</f>
        <v>720</v>
      </c>
      <c r="J5" s="6">
        <v>20</v>
      </c>
      <c r="K5" s="6">
        <v>13.33</v>
      </c>
      <c r="M5" s="6" t="s">
        <v>44</v>
      </c>
      <c r="N5" s="6">
        <v>1</v>
      </c>
      <c r="P5" s="6" t="s">
        <v>38</v>
      </c>
      <c r="Q5" s="6" t="s">
        <v>39</v>
      </c>
      <c r="R5" s="6">
        <v>96032100</v>
      </c>
      <c r="S5" s="9">
        <v>0.05</v>
      </c>
      <c r="T5" s="9">
        <v>0</v>
      </c>
      <c r="Y5" s="6" t="str">
        <v>Gram</v>
      </c>
    </row>
    <row r="6" spans="1:25" x14ac:dyDescent="0.3">
      <c r="A6" s="6" t="s">
        <v>45</v>
      </c>
      <c r="B6" s="8" t="s">
        <v>746</v>
      </c>
      <c r="C6" s="6" t="s">
        <v>46</v>
      </c>
      <c r="D6" s="6" t="s">
        <v>34</v>
      </c>
      <c r="E6" s="6">
        <v>50</v>
      </c>
      <c r="F6" s="6" t="s">
        <v>35</v>
      </c>
      <c r="G6" s="6">
        <v>50</v>
      </c>
      <c r="H6" s="6">
        <v>50</v>
      </c>
      <c r="I6" s="6">
        <f>16*50</f>
        <v>800</v>
      </c>
      <c r="J6" s="6">
        <v>1000</v>
      </c>
      <c r="K6" s="6">
        <v>660</v>
      </c>
      <c r="M6" s="6" t="s">
        <v>36</v>
      </c>
      <c r="N6" s="6">
        <v>1</v>
      </c>
      <c r="P6" s="6" t="s">
        <v>38</v>
      </c>
      <c r="Q6" s="6" t="s">
        <v>39</v>
      </c>
      <c r="R6" s="6">
        <v>96032100</v>
      </c>
      <c r="S6" s="9">
        <v>0.05</v>
      </c>
      <c r="T6" s="9">
        <v>0</v>
      </c>
      <c r="Y6" s="6" t="str">
        <v>Kilogram</v>
      </c>
    </row>
    <row r="7" spans="1:25" x14ac:dyDescent="0.3">
      <c r="A7" s="6" t="s">
        <v>47</v>
      </c>
      <c r="B7" s="8" t="s">
        <v>745</v>
      </c>
      <c r="C7" s="6" t="s">
        <v>48</v>
      </c>
      <c r="D7" s="6" t="s">
        <v>34</v>
      </c>
      <c r="E7" s="6">
        <v>12</v>
      </c>
      <c r="F7" s="6" t="s">
        <v>35</v>
      </c>
      <c r="G7" s="6">
        <v>12</v>
      </c>
      <c r="H7" s="6">
        <v>12</v>
      </c>
      <c r="I7" s="6">
        <f>60*12</f>
        <v>720</v>
      </c>
      <c r="J7" s="6">
        <v>20</v>
      </c>
      <c r="K7" s="6">
        <v>13.33</v>
      </c>
      <c r="M7" s="6" t="s">
        <v>44</v>
      </c>
      <c r="N7" s="6">
        <v>1</v>
      </c>
      <c r="P7" s="6" t="s">
        <v>38</v>
      </c>
      <c r="Q7" s="6" t="s">
        <v>39</v>
      </c>
      <c r="R7" s="6">
        <v>96032100</v>
      </c>
      <c r="S7" s="9">
        <v>0.05</v>
      </c>
      <c r="T7" s="9">
        <v>0</v>
      </c>
      <c r="Y7" s="6" t="str">
        <v>Milliliter</v>
      </c>
    </row>
    <row r="8" spans="1:25" x14ac:dyDescent="0.3">
      <c r="A8" s="6" t="s">
        <v>49</v>
      </c>
      <c r="B8" s="8" t="s">
        <v>744</v>
      </c>
      <c r="C8" s="6" t="s">
        <v>50</v>
      </c>
      <c r="D8" s="6" t="s">
        <v>34</v>
      </c>
      <c r="E8" s="6">
        <v>12</v>
      </c>
      <c r="F8" s="6" t="s">
        <v>35</v>
      </c>
      <c r="G8" s="6">
        <v>12</v>
      </c>
      <c r="H8" s="6">
        <v>12</v>
      </c>
      <c r="I8" s="6">
        <f>60*12</f>
        <v>720</v>
      </c>
      <c r="J8" s="6">
        <v>18</v>
      </c>
      <c r="K8" s="6">
        <f>138/12</f>
        <v>11.5</v>
      </c>
      <c r="M8" s="6" t="s">
        <v>44</v>
      </c>
      <c r="N8" s="6">
        <v>1</v>
      </c>
      <c r="P8" s="6" t="s">
        <v>38</v>
      </c>
      <c r="Q8" s="6" t="s">
        <v>39</v>
      </c>
      <c r="R8" s="6">
        <v>96032100</v>
      </c>
      <c r="S8" s="9">
        <v>0.05</v>
      </c>
      <c r="T8" s="9">
        <v>0</v>
      </c>
      <c r="Y8" s="6" t="str">
        <v>Liter</v>
      </c>
    </row>
    <row r="9" spans="1:25" x14ac:dyDescent="0.3">
      <c r="A9" s="6" t="s">
        <v>51</v>
      </c>
      <c r="B9" s="8" t="s">
        <v>743</v>
      </c>
      <c r="C9" s="6" t="s">
        <v>52</v>
      </c>
      <c r="D9" s="6" t="s">
        <v>34</v>
      </c>
      <c r="E9" s="6">
        <v>12</v>
      </c>
      <c r="F9" s="6" t="s">
        <v>35</v>
      </c>
      <c r="G9" s="6">
        <v>12</v>
      </c>
      <c r="H9" s="6">
        <v>12</v>
      </c>
      <c r="I9" s="6">
        <f>60*12</f>
        <v>720</v>
      </c>
      <c r="J9" s="6">
        <v>10</v>
      </c>
      <c r="K9" s="6">
        <v>6.66</v>
      </c>
      <c r="M9" s="6" t="s">
        <v>44</v>
      </c>
      <c r="N9" s="6">
        <v>1</v>
      </c>
      <c r="P9" s="6" t="s">
        <v>38</v>
      </c>
      <c r="Q9" s="6" t="s">
        <v>39</v>
      </c>
      <c r="R9" s="6">
        <v>96032100</v>
      </c>
      <c r="S9" s="9">
        <v>0.05</v>
      </c>
      <c r="T9" s="9">
        <v>0</v>
      </c>
      <c r="Y9" s="6" t="str">
        <v>Nons</v>
      </c>
    </row>
    <row r="10" spans="1:25" x14ac:dyDescent="0.3">
      <c r="A10" s="6" t="s">
        <v>53</v>
      </c>
      <c r="B10" s="8" t="s">
        <v>742</v>
      </c>
      <c r="C10" s="6" t="s">
        <v>54</v>
      </c>
      <c r="D10" s="6" t="s">
        <v>34</v>
      </c>
      <c r="E10" s="6">
        <v>12</v>
      </c>
      <c r="F10" s="6" t="s">
        <v>35</v>
      </c>
      <c r="G10" s="6">
        <v>12</v>
      </c>
      <c r="H10" s="6">
        <v>12</v>
      </c>
      <c r="I10" s="6">
        <f>24*12</f>
        <v>288</v>
      </c>
      <c r="J10" s="6">
        <v>18</v>
      </c>
      <c r="K10" s="6">
        <v>9.16</v>
      </c>
      <c r="M10" s="6" t="s">
        <v>44</v>
      </c>
      <c r="N10" s="6">
        <v>1</v>
      </c>
      <c r="P10" s="6" t="s">
        <v>38</v>
      </c>
      <c r="Q10" s="6" t="s">
        <v>39</v>
      </c>
      <c r="R10" s="6">
        <v>96032100</v>
      </c>
      <c r="S10" s="9">
        <v>0.05</v>
      </c>
      <c r="T10" s="9">
        <v>0</v>
      </c>
      <c r="Y10" s="6">
        <v>0</v>
      </c>
    </row>
    <row r="11" spans="1:25" x14ac:dyDescent="0.3">
      <c r="A11" s="6" t="s">
        <v>55</v>
      </c>
      <c r="B11" s="8" t="s">
        <v>741</v>
      </c>
      <c r="C11" s="6" t="s">
        <v>56</v>
      </c>
      <c r="D11" s="6" t="s">
        <v>34</v>
      </c>
      <c r="E11" s="6">
        <v>12</v>
      </c>
      <c r="F11" s="6" t="s">
        <v>35</v>
      </c>
      <c r="G11" s="6">
        <v>12</v>
      </c>
      <c r="H11" s="6">
        <v>12</v>
      </c>
      <c r="I11" s="6">
        <f>20*7</f>
        <v>140</v>
      </c>
      <c r="J11" s="6">
        <v>25</v>
      </c>
      <c r="K11" s="6">
        <v>15.71</v>
      </c>
      <c r="M11" s="6" t="s">
        <v>44</v>
      </c>
      <c r="N11" s="6">
        <v>1</v>
      </c>
      <c r="P11" s="6" t="s">
        <v>38</v>
      </c>
      <c r="Q11" s="6" t="s">
        <v>39</v>
      </c>
      <c r="R11" s="6">
        <v>96032100</v>
      </c>
      <c r="S11" s="9">
        <v>0.05</v>
      </c>
      <c r="T11" s="9">
        <v>0</v>
      </c>
    </row>
    <row r="12" spans="1:25" x14ac:dyDescent="0.3">
      <c r="A12" s="6" t="s">
        <v>57</v>
      </c>
      <c r="B12" s="8" t="s">
        <v>740</v>
      </c>
      <c r="C12" s="6" t="s">
        <v>58</v>
      </c>
      <c r="D12" s="6" t="s">
        <v>34</v>
      </c>
      <c r="E12" s="6">
        <v>32</v>
      </c>
      <c r="F12" s="6" t="s">
        <v>35</v>
      </c>
      <c r="G12" s="6">
        <v>32</v>
      </c>
      <c r="H12" s="6">
        <v>32</v>
      </c>
      <c r="I12" s="6">
        <f>60*32</f>
        <v>1920</v>
      </c>
      <c r="J12" s="6">
        <v>36</v>
      </c>
      <c r="K12" s="6">
        <f>735/32</f>
        <v>22.96875</v>
      </c>
      <c r="M12" s="6" t="s">
        <v>36</v>
      </c>
      <c r="N12" s="6">
        <v>1</v>
      </c>
      <c r="P12" s="6" t="s">
        <v>38</v>
      </c>
      <c r="Q12" s="6" t="s">
        <v>39</v>
      </c>
      <c r="R12" s="6">
        <v>96032100</v>
      </c>
      <c r="S12" s="9">
        <v>0.05</v>
      </c>
      <c r="T12" s="9">
        <v>0</v>
      </c>
    </row>
    <row r="13" spans="1:25" x14ac:dyDescent="0.3">
      <c r="A13" s="10" t="s">
        <v>59</v>
      </c>
      <c r="B13" s="8" t="s">
        <v>739</v>
      </c>
      <c r="C13" s="6" t="s">
        <v>58</v>
      </c>
      <c r="D13" s="6" t="s">
        <v>34</v>
      </c>
      <c r="E13" s="6">
        <v>7</v>
      </c>
      <c r="F13" s="6" t="s">
        <v>35</v>
      </c>
      <c r="G13" s="6">
        <v>7</v>
      </c>
      <c r="H13" s="6">
        <v>7</v>
      </c>
      <c r="I13" s="6">
        <f>60*7</f>
        <v>420</v>
      </c>
      <c r="J13" s="6">
        <v>36</v>
      </c>
      <c r="K13" s="6">
        <f>165/7</f>
        <v>23.571428571428573</v>
      </c>
      <c r="M13" s="6" t="s">
        <v>44</v>
      </c>
      <c r="N13" s="6">
        <v>1</v>
      </c>
      <c r="P13" s="6" t="s">
        <v>38</v>
      </c>
      <c r="Q13" s="6" t="s">
        <v>39</v>
      </c>
      <c r="R13" s="6">
        <v>96032100</v>
      </c>
      <c r="S13" s="9">
        <v>0.05</v>
      </c>
      <c r="T13" s="9">
        <v>0</v>
      </c>
    </row>
    <row r="14" spans="1:25" x14ac:dyDescent="0.3">
      <c r="A14" s="6" t="s">
        <v>60</v>
      </c>
      <c r="B14" s="8" t="s">
        <v>738</v>
      </c>
      <c r="C14" s="6" t="s">
        <v>61</v>
      </c>
      <c r="D14" s="6" t="s">
        <v>34</v>
      </c>
      <c r="E14" s="6">
        <v>9</v>
      </c>
      <c r="F14" s="6" t="s">
        <v>35</v>
      </c>
      <c r="G14" s="6">
        <v>9</v>
      </c>
      <c r="H14" s="6">
        <v>9</v>
      </c>
      <c r="I14" s="6">
        <v>216</v>
      </c>
      <c r="J14" s="6">
        <v>27</v>
      </c>
      <c r="K14" s="6">
        <v>14.44</v>
      </c>
      <c r="M14" s="6" t="s">
        <v>44</v>
      </c>
      <c r="N14" s="6">
        <v>1</v>
      </c>
      <c r="P14" s="6" t="s">
        <v>38</v>
      </c>
      <c r="Q14" s="6" t="s">
        <v>39</v>
      </c>
      <c r="R14" s="6">
        <v>96032100</v>
      </c>
      <c r="S14" s="9">
        <v>0.05</v>
      </c>
      <c r="T14" s="9">
        <v>0</v>
      </c>
    </row>
    <row r="15" spans="1:25" x14ac:dyDescent="0.3">
      <c r="A15" s="6" t="s">
        <v>62</v>
      </c>
      <c r="B15" s="8" t="s">
        <v>737</v>
      </c>
      <c r="C15" s="6" t="s">
        <v>63</v>
      </c>
      <c r="D15" s="6" t="s">
        <v>34</v>
      </c>
      <c r="E15" s="6">
        <v>12</v>
      </c>
      <c r="F15" s="6" t="s">
        <v>35</v>
      </c>
      <c r="G15" s="6">
        <v>12</v>
      </c>
      <c r="H15" s="6">
        <v>12</v>
      </c>
      <c r="I15" s="6">
        <f>60*12</f>
        <v>720</v>
      </c>
      <c r="J15" s="6">
        <v>16</v>
      </c>
      <c r="K15" s="6">
        <f>100/12</f>
        <v>8.3333333333333339</v>
      </c>
      <c r="M15" s="6" t="s">
        <v>44</v>
      </c>
      <c r="N15" s="6">
        <v>1</v>
      </c>
      <c r="P15" s="6" t="s">
        <v>38</v>
      </c>
      <c r="Q15" s="6" t="s">
        <v>39</v>
      </c>
      <c r="R15" s="6">
        <v>96032100</v>
      </c>
      <c r="S15" s="9">
        <v>0.05</v>
      </c>
      <c r="T15" s="9">
        <v>0</v>
      </c>
    </row>
    <row r="16" spans="1:25" x14ac:dyDescent="0.3">
      <c r="A16" s="6" t="s">
        <v>64</v>
      </c>
      <c r="B16" s="8" t="s">
        <v>736</v>
      </c>
      <c r="C16" s="6" t="s">
        <v>65</v>
      </c>
      <c r="D16" s="6" t="s">
        <v>66</v>
      </c>
      <c r="E16" s="6">
        <v>1</v>
      </c>
      <c r="F16" s="6" t="s">
        <v>35</v>
      </c>
      <c r="G16" s="6">
        <v>1</v>
      </c>
      <c r="I16" s="6">
        <f>48*4</f>
        <v>192</v>
      </c>
      <c r="J16" s="6">
        <v>55</v>
      </c>
      <c r="K16" s="6">
        <v>38</v>
      </c>
      <c r="L16" s="6">
        <v>1</v>
      </c>
      <c r="M16" s="6" t="s">
        <v>66</v>
      </c>
      <c r="N16" s="6">
        <v>1</v>
      </c>
      <c r="P16" s="6" t="s">
        <v>38</v>
      </c>
      <c r="Q16" s="6" t="s">
        <v>39</v>
      </c>
      <c r="R16" s="6">
        <v>96032100</v>
      </c>
      <c r="S16" s="9">
        <v>0.05</v>
      </c>
      <c r="T16" s="9">
        <v>0</v>
      </c>
    </row>
    <row r="17" spans="1:20" x14ac:dyDescent="0.3">
      <c r="A17" s="6" t="s">
        <v>67</v>
      </c>
      <c r="B17" s="8" t="s">
        <v>735</v>
      </c>
      <c r="C17" s="6" t="s">
        <v>68</v>
      </c>
      <c r="D17" s="6" t="s">
        <v>66</v>
      </c>
      <c r="E17" s="6">
        <v>1</v>
      </c>
      <c r="F17" s="6" t="s">
        <v>35</v>
      </c>
      <c r="G17" s="6">
        <v>1</v>
      </c>
      <c r="I17" s="6">
        <v>180</v>
      </c>
      <c r="J17" s="6">
        <v>66</v>
      </c>
      <c r="K17" s="6">
        <v>41</v>
      </c>
      <c r="L17" s="6">
        <v>1</v>
      </c>
      <c r="M17" s="6" t="s">
        <v>66</v>
      </c>
      <c r="N17" s="6">
        <v>1</v>
      </c>
      <c r="P17" s="6" t="s">
        <v>38</v>
      </c>
      <c r="Q17" s="6" t="s">
        <v>39</v>
      </c>
      <c r="R17" s="6">
        <v>96032100</v>
      </c>
      <c r="S17" s="9">
        <v>0.05</v>
      </c>
      <c r="T17" s="9">
        <v>0</v>
      </c>
    </row>
    <row r="18" spans="1:20" x14ac:dyDescent="0.3">
      <c r="A18" s="6" t="s">
        <v>69</v>
      </c>
      <c r="B18" s="8" t="s">
        <v>734</v>
      </c>
      <c r="C18" s="6" t="s">
        <v>70</v>
      </c>
      <c r="D18" s="6" t="s">
        <v>66</v>
      </c>
      <c r="E18" s="6">
        <v>1</v>
      </c>
      <c r="F18" s="6" t="s">
        <v>35</v>
      </c>
      <c r="G18" s="6">
        <v>1</v>
      </c>
      <c r="I18" s="6">
        <v>180</v>
      </c>
      <c r="J18" s="6">
        <v>66</v>
      </c>
      <c r="K18" s="6">
        <v>41</v>
      </c>
      <c r="L18" s="6">
        <v>1</v>
      </c>
      <c r="M18" s="6" t="s">
        <v>66</v>
      </c>
      <c r="N18" s="6">
        <v>1</v>
      </c>
      <c r="P18" s="6" t="s">
        <v>38</v>
      </c>
      <c r="Q18" s="6" t="s">
        <v>39</v>
      </c>
      <c r="R18" s="6">
        <v>96032100</v>
      </c>
      <c r="S18" s="9">
        <v>0.05</v>
      </c>
      <c r="T18" s="9">
        <v>0</v>
      </c>
    </row>
    <row r="19" spans="1:20" x14ac:dyDescent="0.3">
      <c r="A19" s="6" t="s">
        <v>71</v>
      </c>
      <c r="B19" s="8" t="s">
        <v>733</v>
      </c>
      <c r="C19" s="6" t="s">
        <v>72</v>
      </c>
      <c r="D19" s="6" t="s">
        <v>66</v>
      </c>
      <c r="E19" s="6">
        <v>1</v>
      </c>
      <c r="F19" s="6" t="s">
        <v>35</v>
      </c>
      <c r="G19" s="6">
        <v>1</v>
      </c>
      <c r="I19" s="6">
        <v>180</v>
      </c>
      <c r="J19" s="6">
        <v>72</v>
      </c>
      <c r="K19" s="6">
        <v>51</v>
      </c>
      <c r="L19" s="6">
        <v>1</v>
      </c>
      <c r="M19" s="6" t="s">
        <v>66</v>
      </c>
      <c r="N19" s="6">
        <v>1</v>
      </c>
      <c r="P19" s="6" t="s">
        <v>38</v>
      </c>
      <c r="Q19" s="6" t="s">
        <v>39</v>
      </c>
      <c r="R19" s="6">
        <v>96032100</v>
      </c>
      <c r="S19" s="9">
        <v>0.05</v>
      </c>
      <c r="T19" s="9">
        <v>0</v>
      </c>
    </row>
    <row r="20" spans="1:20" x14ac:dyDescent="0.3">
      <c r="A20" s="6" t="s">
        <v>73</v>
      </c>
      <c r="B20" s="8" t="s">
        <v>732</v>
      </c>
      <c r="C20" s="6" t="s">
        <v>74</v>
      </c>
      <c r="D20" s="6" t="s">
        <v>35</v>
      </c>
      <c r="E20" s="6">
        <v>300</v>
      </c>
      <c r="F20" s="6" t="s">
        <v>35</v>
      </c>
      <c r="G20" s="6">
        <v>300</v>
      </c>
      <c r="H20" s="6" t="s">
        <v>75</v>
      </c>
      <c r="I20" s="6">
        <v>30</v>
      </c>
      <c r="J20" s="6">
        <v>103</v>
      </c>
      <c r="K20" s="6">
        <v>91</v>
      </c>
      <c r="L20" s="6">
        <v>1</v>
      </c>
      <c r="M20" s="6" t="s">
        <v>76</v>
      </c>
      <c r="N20" s="6">
        <v>1</v>
      </c>
      <c r="P20" s="6" t="s">
        <v>77</v>
      </c>
      <c r="Q20" s="6" t="s">
        <v>78</v>
      </c>
      <c r="R20" s="6">
        <v>20019000</v>
      </c>
      <c r="S20" s="9">
        <v>0.05</v>
      </c>
      <c r="T20" s="9">
        <v>0</v>
      </c>
    </row>
    <row r="21" spans="1:20" x14ac:dyDescent="0.3">
      <c r="A21" s="6" t="s">
        <v>79</v>
      </c>
      <c r="B21" s="8" t="s">
        <v>731</v>
      </c>
      <c r="C21" s="6" t="s">
        <v>80</v>
      </c>
      <c r="D21" s="6" t="s">
        <v>35</v>
      </c>
      <c r="E21" s="6">
        <v>90</v>
      </c>
      <c r="F21" s="6" t="s">
        <v>35</v>
      </c>
      <c r="G21" s="6">
        <v>90</v>
      </c>
      <c r="H21" s="6">
        <v>3</v>
      </c>
      <c r="I21" s="6">
        <v>160</v>
      </c>
      <c r="J21" s="6">
        <v>36</v>
      </c>
      <c r="K21" s="6">
        <v>31.5</v>
      </c>
      <c r="M21" s="6" t="s">
        <v>81</v>
      </c>
      <c r="N21" s="6">
        <v>1</v>
      </c>
      <c r="P21" s="6" t="s">
        <v>77</v>
      </c>
      <c r="Q21" s="6" t="s">
        <v>78</v>
      </c>
      <c r="R21" s="6">
        <v>21069060</v>
      </c>
      <c r="S21" s="9">
        <v>0.05</v>
      </c>
      <c r="T21" s="9">
        <v>0</v>
      </c>
    </row>
    <row r="22" spans="1:20" x14ac:dyDescent="0.3">
      <c r="A22" s="6" t="s">
        <v>82</v>
      </c>
      <c r="B22" s="8" t="s">
        <v>730</v>
      </c>
      <c r="C22" s="6" t="s">
        <v>83</v>
      </c>
      <c r="D22" s="6" t="s">
        <v>35</v>
      </c>
      <c r="E22" s="6">
        <v>8</v>
      </c>
      <c r="F22" s="6" t="s">
        <v>35</v>
      </c>
      <c r="G22" s="6">
        <v>8</v>
      </c>
      <c r="H22" s="6">
        <v>10</v>
      </c>
      <c r="I22" s="6">
        <v>900</v>
      </c>
      <c r="J22" s="6">
        <v>5</v>
      </c>
      <c r="K22" s="6">
        <v>3</v>
      </c>
      <c r="L22" s="6" t="s">
        <v>84</v>
      </c>
      <c r="M22" s="6" t="s">
        <v>81</v>
      </c>
      <c r="N22" s="6">
        <v>1</v>
      </c>
      <c r="P22" s="6" t="s">
        <v>77</v>
      </c>
      <c r="Q22" s="6" t="s">
        <v>78</v>
      </c>
      <c r="R22" s="6">
        <v>9101210</v>
      </c>
      <c r="S22" s="9">
        <v>0.05</v>
      </c>
      <c r="T22" s="9">
        <v>0</v>
      </c>
    </row>
    <row r="23" spans="1:20" x14ac:dyDescent="0.3">
      <c r="A23" s="6" t="s">
        <v>85</v>
      </c>
      <c r="B23" s="8" t="s">
        <v>729</v>
      </c>
      <c r="C23" s="6" t="s">
        <v>86</v>
      </c>
      <c r="D23" s="6" t="s">
        <v>35</v>
      </c>
      <c r="E23" s="6">
        <v>8</v>
      </c>
      <c r="F23" s="6" t="s">
        <v>35</v>
      </c>
      <c r="G23" s="6">
        <v>8</v>
      </c>
      <c r="H23" s="6">
        <v>10</v>
      </c>
      <c r="I23" s="6">
        <v>900</v>
      </c>
      <c r="J23" s="6">
        <v>5</v>
      </c>
      <c r="K23" s="6">
        <v>3</v>
      </c>
      <c r="L23" s="6" t="s">
        <v>75</v>
      </c>
      <c r="M23" s="6" t="s">
        <v>81</v>
      </c>
      <c r="N23" s="6">
        <v>1</v>
      </c>
      <c r="P23" s="6" t="s">
        <v>77</v>
      </c>
      <c r="Q23" s="6" t="s">
        <v>78</v>
      </c>
      <c r="R23" s="6">
        <v>9101210</v>
      </c>
      <c r="S23" s="9">
        <v>0.05</v>
      </c>
      <c r="T23" s="9">
        <v>0</v>
      </c>
    </row>
    <row r="24" spans="1:20" x14ac:dyDescent="0.3">
      <c r="A24" s="6" t="s">
        <v>87</v>
      </c>
      <c r="B24" s="8" t="s">
        <v>728</v>
      </c>
      <c r="C24" s="6" t="s">
        <v>88</v>
      </c>
      <c r="D24" s="6" t="s">
        <v>35</v>
      </c>
      <c r="E24" s="6">
        <v>12</v>
      </c>
      <c r="F24" s="6" t="s">
        <v>35</v>
      </c>
      <c r="G24" s="6">
        <v>12</v>
      </c>
      <c r="H24" s="6">
        <v>13</v>
      </c>
      <c r="I24" s="6">
        <v>520</v>
      </c>
      <c r="J24" s="6">
        <v>5</v>
      </c>
      <c r="K24" s="6">
        <v>3.9</v>
      </c>
      <c r="L24" s="6" t="s">
        <v>75</v>
      </c>
      <c r="M24" s="6" t="s">
        <v>81</v>
      </c>
      <c r="N24" s="6">
        <v>1</v>
      </c>
      <c r="P24" s="6" t="s">
        <v>77</v>
      </c>
      <c r="Q24" s="6" t="s">
        <v>78</v>
      </c>
      <c r="R24" s="6">
        <v>9101210</v>
      </c>
      <c r="S24" s="9">
        <v>0.05</v>
      </c>
      <c r="T24" s="9">
        <v>0</v>
      </c>
    </row>
    <row r="25" spans="1:20" x14ac:dyDescent="0.3">
      <c r="A25" s="6" t="s">
        <v>89</v>
      </c>
      <c r="B25" s="8" t="s">
        <v>727</v>
      </c>
      <c r="C25" s="6" t="s">
        <v>88</v>
      </c>
      <c r="D25" s="6" t="s">
        <v>35</v>
      </c>
      <c r="E25" s="6">
        <v>100</v>
      </c>
      <c r="F25" s="6" t="s">
        <v>35</v>
      </c>
      <c r="G25" s="6">
        <v>100</v>
      </c>
      <c r="H25" s="6">
        <v>10</v>
      </c>
      <c r="I25" s="6">
        <v>200</v>
      </c>
      <c r="J25" s="6">
        <v>50</v>
      </c>
      <c r="K25" s="6">
        <v>28.1</v>
      </c>
      <c r="L25" s="6" t="s">
        <v>75</v>
      </c>
      <c r="M25" s="6" t="s">
        <v>81</v>
      </c>
      <c r="N25" s="6">
        <v>1</v>
      </c>
      <c r="P25" s="6" t="s">
        <v>77</v>
      </c>
      <c r="Q25" s="6" t="s">
        <v>78</v>
      </c>
      <c r="R25" s="6">
        <v>9101210</v>
      </c>
      <c r="S25" s="9">
        <v>0.05</v>
      </c>
      <c r="T25" s="9">
        <v>0</v>
      </c>
    </row>
    <row r="26" spans="1:20" x14ac:dyDescent="0.3">
      <c r="A26" s="6" t="s">
        <v>90</v>
      </c>
      <c r="B26" s="8" t="s">
        <v>726</v>
      </c>
      <c r="C26" s="6" t="s">
        <v>88</v>
      </c>
      <c r="D26" s="6" t="s">
        <v>35</v>
      </c>
      <c r="E26" s="6">
        <v>200</v>
      </c>
      <c r="F26" s="6" t="s">
        <v>35</v>
      </c>
      <c r="G26" s="6">
        <v>200</v>
      </c>
      <c r="H26" s="6">
        <v>5</v>
      </c>
      <c r="I26" s="6">
        <v>100</v>
      </c>
      <c r="J26" s="6">
        <v>96</v>
      </c>
      <c r="K26" s="6">
        <v>56.29</v>
      </c>
      <c r="L26" s="6" t="s">
        <v>75</v>
      </c>
      <c r="M26" s="6" t="s">
        <v>81</v>
      </c>
      <c r="N26" s="6">
        <v>1</v>
      </c>
      <c r="P26" s="6" t="s">
        <v>77</v>
      </c>
      <c r="Q26" s="6" t="s">
        <v>78</v>
      </c>
      <c r="R26" s="6">
        <v>9101210</v>
      </c>
      <c r="S26" s="9">
        <v>0.05</v>
      </c>
      <c r="T26" s="9">
        <v>0</v>
      </c>
    </row>
    <row r="27" spans="1:20" x14ac:dyDescent="0.3">
      <c r="A27" s="6" t="s">
        <v>91</v>
      </c>
      <c r="B27" s="8" t="s">
        <v>725</v>
      </c>
      <c r="C27" s="6" t="s">
        <v>88</v>
      </c>
      <c r="D27" s="6" t="s">
        <v>35</v>
      </c>
      <c r="E27" s="6">
        <v>50</v>
      </c>
      <c r="F27" s="6" t="s">
        <v>35</v>
      </c>
      <c r="G27" s="6">
        <v>50</v>
      </c>
      <c r="H27" s="6">
        <v>20</v>
      </c>
      <c r="I27" s="6">
        <v>400</v>
      </c>
      <c r="J27" s="6">
        <v>25</v>
      </c>
      <c r="K27" s="6">
        <v>14.05</v>
      </c>
      <c r="L27" s="6" t="s">
        <v>75</v>
      </c>
      <c r="M27" s="6" t="s">
        <v>81</v>
      </c>
      <c r="N27" s="6">
        <v>1</v>
      </c>
      <c r="P27" s="6" t="s">
        <v>77</v>
      </c>
      <c r="Q27" s="6" t="s">
        <v>78</v>
      </c>
      <c r="R27" s="6">
        <v>9101210</v>
      </c>
      <c r="S27" s="9">
        <v>0.05</v>
      </c>
      <c r="T27" s="9">
        <v>0</v>
      </c>
    </row>
    <row r="28" spans="1:20" x14ac:dyDescent="0.3">
      <c r="A28" s="6" t="s">
        <v>92</v>
      </c>
      <c r="B28" s="8" t="s">
        <v>724</v>
      </c>
      <c r="C28" s="6" t="s">
        <v>88</v>
      </c>
      <c r="D28" s="6" t="s">
        <v>35</v>
      </c>
      <c r="E28" s="6">
        <v>500</v>
      </c>
      <c r="F28" s="6" t="s">
        <v>35</v>
      </c>
      <c r="G28" s="6">
        <v>500</v>
      </c>
      <c r="H28" s="6">
        <v>2</v>
      </c>
      <c r="I28" s="6">
        <v>40</v>
      </c>
      <c r="J28" s="6">
        <v>275</v>
      </c>
      <c r="K28" s="6">
        <v>129</v>
      </c>
      <c r="M28" s="6" t="s">
        <v>81</v>
      </c>
      <c r="N28" s="6">
        <v>1</v>
      </c>
      <c r="P28" s="6" t="s">
        <v>77</v>
      </c>
      <c r="Q28" s="6" t="s">
        <v>78</v>
      </c>
      <c r="R28" s="6">
        <v>9101210</v>
      </c>
      <c r="S28" s="9">
        <v>0.05</v>
      </c>
      <c r="T28" s="9">
        <v>0</v>
      </c>
    </row>
    <row r="29" spans="1:20" x14ac:dyDescent="0.3">
      <c r="A29" s="6" t="s">
        <v>93</v>
      </c>
      <c r="B29" s="8" t="s">
        <v>723</v>
      </c>
      <c r="C29" s="6" t="s">
        <v>94</v>
      </c>
      <c r="D29" s="6" t="s">
        <v>35</v>
      </c>
      <c r="E29" s="6">
        <v>300</v>
      </c>
      <c r="F29" s="6" t="s">
        <v>35</v>
      </c>
      <c r="G29" s="6">
        <v>300</v>
      </c>
      <c r="J29" s="6">
        <v>103</v>
      </c>
      <c r="K29" s="6">
        <v>91</v>
      </c>
      <c r="L29" s="6">
        <v>1</v>
      </c>
      <c r="M29" s="6" t="s">
        <v>76</v>
      </c>
      <c r="N29" s="6">
        <v>1</v>
      </c>
      <c r="P29" s="6" t="s">
        <v>77</v>
      </c>
      <c r="Q29" s="6" t="s">
        <v>78</v>
      </c>
      <c r="R29" s="6">
        <v>9101210</v>
      </c>
      <c r="S29" s="9">
        <v>0.05</v>
      </c>
      <c r="T29" s="9">
        <v>0</v>
      </c>
    </row>
    <row r="30" spans="1:20" x14ac:dyDescent="0.3">
      <c r="A30" s="6" t="s">
        <v>95</v>
      </c>
      <c r="B30" s="8" t="s">
        <v>722</v>
      </c>
      <c r="C30" s="6" t="s">
        <v>96</v>
      </c>
      <c r="D30" s="6" t="s">
        <v>97</v>
      </c>
      <c r="E30" s="6">
        <v>1</v>
      </c>
      <c r="F30" s="6" t="s">
        <v>97</v>
      </c>
      <c r="G30" s="6">
        <v>1</v>
      </c>
      <c r="I30" s="6">
        <v>12</v>
      </c>
      <c r="J30" s="6">
        <v>270</v>
      </c>
      <c r="K30" s="6">
        <v>245.44</v>
      </c>
      <c r="L30" s="6">
        <v>1</v>
      </c>
      <c r="M30" s="6" t="s">
        <v>98</v>
      </c>
      <c r="N30" s="6">
        <v>1</v>
      </c>
      <c r="P30" s="6" t="s">
        <v>77</v>
      </c>
      <c r="Q30" s="6" t="s">
        <v>78</v>
      </c>
      <c r="R30" s="6">
        <v>9101210</v>
      </c>
      <c r="S30" s="9">
        <v>0.05</v>
      </c>
      <c r="T30" s="9">
        <v>0</v>
      </c>
    </row>
    <row r="31" spans="1:20" x14ac:dyDescent="0.3">
      <c r="A31" s="6" t="s">
        <v>99</v>
      </c>
      <c r="B31" s="8" t="s">
        <v>721</v>
      </c>
      <c r="C31" s="6" t="s">
        <v>96</v>
      </c>
      <c r="D31" s="6" t="s">
        <v>35</v>
      </c>
      <c r="E31" s="6">
        <v>500</v>
      </c>
      <c r="F31" s="6" t="s">
        <v>35</v>
      </c>
      <c r="G31" s="6">
        <v>500</v>
      </c>
      <c r="I31" s="6">
        <v>20</v>
      </c>
      <c r="J31" s="6">
        <v>100</v>
      </c>
      <c r="K31" s="6">
        <v>74</v>
      </c>
      <c r="L31" s="6">
        <v>1</v>
      </c>
      <c r="M31" s="6" t="s">
        <v>81</v>
      </c>
      <c r="N31" s="6">
        <v>1</v>
      </c>
      <c r="P31" s="6" t="s">
        <v>77</v>
      </c>
      <c r="Q31" s="6" t="s">
        <v>78</v>
      </c>
      <c r="R31" s="6">
        <v>9101210</v>
      </c>
      <c r="S31" s="9">
        <v>0.05</v>
      </c>
      <c r="T31" s="9">
        <v>0</v>
      </c>
    </row>
    <row r="32" spans="1:20" x14ac:dyDescent="0.3">
      <c r="A32" s="6" t="s">
        <v>100</v>
      </c>
      <c r="B32" s="8" t="s">
        <v>720</v>
      </c>
      <c r="C32" s="6" t="s">
        <v>101</v>
      </c>
      <c r="D32" s="6" t="s">
        <v>35</v>
      </c>
      <c r="E32" s="6">
        <v>15</v>
      </c>
      <c r="F32" s="6" t="s">
        <v>35</v>
      </c>
      <c r="G32" s="6">
        <v>15</v>
      </c>
      <c r="H32" s="6">
        <v>13</v>
      </c>
      <c r="I32" s="6">
        <v>416</v>
      </c>
      <c r="J32" s="6">
        <v>5</v>
      </c>
      <c r="K32" s="6">
        <v>3.5</v>
      </c>
      <c r="L32" s="6" t="s">
        <v>75</v>
      </c>
      <c r="M32" s="6" t="s">
        <v>81</v>
      </c>
      <c r="N32" s="6">
        <v>1</v>
      </c>
      <c r="P32" s="6" t="s">
        <v>77</v>
      </c>
      <c r="Q32" s="6" t="s">
        <v>78</v>
      </c>
      <c r="R32" s="6">
        <v>9101210</v>
      </c>
      <c r="S32" s="9">
        <v>0.05</v>
      </c>
      <c r="T32" s="9">
        <v>0</v>
      </c>
    </row>
    <row r="33" spans="1:20" x14ac:dyDescent="0.3">
      <c r="A33" s="6" t="s">
        <v>102</v>
      </c>
      <c r="B33" s="8" t="s">
        <v>719</v>
      </c>
      <c r="C33" s="6" t="s">
        <v>101</v>
      </c>
      <c r="D33" s="6" t="s">
        <v>35</v>
      </c>
      <c r="E33" s="6">
        <v>100</v>
      </c>
      <c r="F33" s="6" t="s">
        <v>35</v>
      </c>
      <c r="G33" s="6">
        <v>100</v>
      </c>
      <c r="H33" s="6">
        <v>10</v>
      </c>
      <c r="I33" s="6">
        <v>200</v>
      </c>
      <c r="J33" s="6">
        <v>35</v>
      </c>
      <c r="K33" s="6">
        <v>20</v>
      </c>
      <c r="L33" s="6" t="s">
        <v>75</v>
      </c>
      <c r="M33" s="6" t="s">
        <v>81</v>
      </c>
      <c r="N33" s="6">
        <v>1</v>
      </c>
      <c r="P33" s="6" t="s">
        <v>77</v>
      </c>
      <c r="Q33" s="6" t="s">
        <v>78</v>
      </c>
      <c r="R33" s="6">
        <v>9101210</v>
      </c>
      <c r="S33" s="9">
        <v>0.05</v>
      </c>
      <c r="T33" s="9">
        <v>0</v>
      </c>
    </row>
    <row r="34" spans="1:20" x14ac:dyDescent="0.3">
      <c r="A34" s="10" t="s">
        <v>103</v>
      </c>
      <c r="B34" s="8" t="s">
        <v>718</v>
      </c>
      <c r="C34" s="6" t="s">
        <v>101</v>
      </c>
      <c r="D34" s="6" t="s">
        <v>35</v>
      </c>
      <c r="E34" s="6">
        <v>500</v>
      </c>
      <c r="F34" s="6" t="s">
        <v>35</v>
      </c>
      <c r="G34" s="6">
        <v>500</v>
      </c>
      <c r="H34" s="6">
        <v>2</v>
      </c>
      <c r="I34" s="6">
        <v>40</v>
      </c>
      <c r="J34" s="6">
        <v>150</v>
      </c>
      <c r="K34" s="6">
        <v>100</v>
      </c>
      <c r="M34" s="6" t="s">
        <v>81</v>
      </c>
      <c r="N34" s="6">
        <v>1</v>
      </c>
      <c r="P34" s="6" t="s">
        <v>77</v>
      </c>
      <c r="Q34" s="6" t="s">
        <v>78</v>
      </c>
      <c r="R34" s="6">
        <v>9101210</v>
      </c>
      <c r="S34" s="9">
        <v>0.05</v>
      </c>
      <c r="T34" s="9">
        <v>0</v>
      </c>
    </row>
    <row r="35" spans="1:20" x14ac:dyDescent="0.3">
      <c r="A35" s="6" t="s">
        <v>104</v>
      </c>
      <c r="B35" s="8" t="s">
        <v>717</v>
      </c>
      <c r="C35" s="6" t="s">
        <v>105</v>
      </c>
      <c r="D35" s="6" t="s">
        <v>35</v>
      </c>
      <c r="E35" s="6">
        <v>8</v>
      </c>
      <c r="F35" s="6" t="s">
        <v>35</v>
      </c>
      <c r="G35" s="6">
        <v>8</v>
      </c>
      <c r="H35" s="6">
        <v>10</v>
      </c>
      <c r="I35" s="6">
        <v>900</v>
      </c>
      <c r="J35" s="6">
        <v>5</v>
      </c>
      <c r="K35" s="6">
        <v>3</v>
      </c>
      <c r="L35" s="6" t="s">
        <v>75</v>
      </c>
      <c r="M35" s="6" t="s">
        <v>81</v>
      </c>
      <c r="N35" s="6">
        <v>1</v>
      </c>
      <c r="P35" s="6" t="s">
        <v>77</v>
      </c>
      <c r="Q35" s="6" t="s">
        <v>78</v>
      </c>
      <c r="R35" s="6">
        <v>9101210</v>
      </c>
      <c r="S35" s="9">
        <v>0.05</v>
      </c>
      <c r="T35" s="9">
        <v>0</v>
      </c>
    </row>
    <row r="36" spans="1:20" x14ac:dyDescent="0.3">
      <c r="A36" s="6" t="s">
        <v>106</v>
      </c>
      <c r="B36" s="8" t="s">
        <v>716</v>
      </c>
      <c r="C36" s="6" t="s">
        <v>107</v>
      </c>
      <c r="D36" s="6" t="s">
        <v>35</v>
      </c>
      <c r="E36" s="6">
        <v>8</v>
      </c>
      <c r="F36" s="6" t="s">
        <v>35</v>
      </c>
      <c r="G36" s="6">
        <v>8</v>
      </c>
      <c r="H36" s="6">
        <v>10</v>
      </c>
      <c r="I36" s="6">
        <v>900</v>
      </c>
      <c r="J36" s="6">
        <v>5</v>
      </c>
      <c r="K36" s="6">
        <v>3</v>
      </c>
      <c r="L36" s="6" t="s">
        <v>108</v>
      </c>
      <c r="M36" s="6" t="s">
        <v>81</v>
      </c>
      <c r="N36" s="6">
        <v>1</v>
      </c>
      <c r="P36" s="6" t="s">
        <v>77</v>
      </c>
      <c r="Q36" s="6" t="s">
        <v>78</v>
      </c>
      <c r="R36" s="6">
        <v>9101210</v>
      </c>
      <c r="S36" s="9">
        <v>0.05</v>
      </c>
      <c r="T36" s="9">
        <v>0</v>
      </c>
    </row>
    <row r="37" spans="1:20" x14ac:dyDescent="0.3">
      <c r="A37" s="6" t="s">
        <v>109</v>
      </c>
      <c r="B37" s="8" t="s">
        <v>715</v>
      </c>
      <c r="C37" s="6" t="s">
        <v>110</v>
      </c>
      <c r="D37" s="6" t="s">
        <v>35</v>
      </c>
      <c r="E37" s="6">
        <v>8</v>
      </c>
      <c r="F37" s="6" t="s">
        <v>35</v>
      </c>
      <c r="G37" s="6">
        <v>8</v>
      </c>
      <c r="H37" s="6">
        <v>10</v>
      </c>
      <c r="I37" s="6">
        <v>900</v>
      </c>
      <c r="J37" s="6">
        <v>5</v>
      </c>
      <c r="K37" s="6">
        <v>3</v>
      </c>
      <c r="L37" s="6" t="s">
        <v>75</v>
      </c>
      <c r="M37" s="6" t="s">
        <v>81</v>
      </c>
      <c r="N37" s="6">
        <v>1</v>
      </c>
      <c r="P37" s="6" t="s">
        <v>77</v>
      </c>
      <c r="Q37" s="6" t="s">
        <v>78</v>
      </c>
      <c r="R37" s="6">
        <v>9101210</v>
      </c>
      <c r="S37" s="9">
        <v>0.05</v>
      </c>
      <c r="T37" s="9">
        <v>0</v>
      </c>
    </row>
    <row r="38" spans="1:20" x14ac:dyDescent="0.3">
      <c r="A38" s="6" t="s">
        <v>111</v>
      </c>
      <c r="B38" s="8" t="s">
        <v>714</v>
      </c>
      <c r="C38" s="6" t="s">
        <v>112</v>
      </c>
      <c r="D38" s="6" t="s">
        <v>35</v>
      </c>
      <c r="E38" s="6">
        <v>8</v>
      </c>
      <c r="F38" s="6" t="s">
        <v>35</v>
      </c>
      <c r="G38" s="6">
        <v>8</v>
      </c>
      <c r="H38" s="6">
        <v>10</v>
      </c>
      <c r="I38" s="6">
        <v>900</v>
      </c>
      <c r="J38" s="6">
        <v>5</v>
      </c>
      <c r="K38" s="6">
        <v>3</v>
      </c>
      <c r="L38" s="6" t="s">
        <v>113</v>
      </c>
      <c r="M38" s="6" t="s">
        <v>81</v>
      </c>
      <c r="N38" s="6">
        <v>1</v>
      </c>
      <c r="P38" s="6" t="s">
        <v>77</v>
      </c>
      <c r="Q38" s="6" t="s">
        <v>78</v>
      </c>
      <c r="R38" s="6">
        <v>9101210</v>
      </c>
      <c r="S38" s="9">
        <v>0.05</v>
      </c>
      <c r="T38" s="9">
        <v>0</v>
      </c>
    </row>
    <row r="39" spans="1:20" x14ac:dyDescent="0.3">
      <c r="A39" s="6" t="s">
        <v>114</v>
      </c>
      <c r="B39" s="8" t="s">
        <v>713</v>
      </c>
      <c r="C39" s="6" t="s">
        <v>115</v>
      </c>
      <c r="D39" s="6" t="s">
        <v>35</v>
      </c>
      <c r="E39" s="6">
        <v>300</v>
      </c>
      <c r="F39" s="6" t="s">
        <v>35</v>
      </c>
      <c r="G39" s="6">
        <v>300</v>
      </c>
      <c r="I39" s="6">
        <v>30</v>
      </c>
      <c r="J39" s="6">
        <v>103</v>
      </c>
      <c r="K39" s="6">
        <v>91</v>
      </c>
      <c r="L39" s="6">
        <v>1</v>
      </c>
      <c r="M39" s="6" t="s">
        <v>76</v>
      </c>
      <c r="N39" s="6">
        <v>1</v>
      </c>
      <c r="P39" s="6" t="s">
        <v>77</v>
      </c>
      <c r="Q39" s="6" t="s">
        <v>78</v>
      </c>
      <c r="R39" s="6">
        <v>9101210</v>
      </c>
      <c r="S39" s="9">
        <v>0.05</v>
      </c>
      <c r="T39" s="9">
        <v>0</v>
      </c>
    </row>
    <row r="40" spans="1:20" x14ac:dyDescent="0.3">
      <c r="A40" s="6" t="s">
        <v>116</v>
      </c>
      <c r="B40" s="8" t="s">
        <v>712</v>
      </c>
      <c r="C40" s="6" t="s">
        <v>117</v>
      </c>
      <c r="D40" s="6" t="s">
        <v>35</v>
      </c>
      <c r="E40" s="6">
        <v>300</v>
      </c>
      <c r="F40" s="6" t="s">
        <v>35</v>
      </c>
      <c r="G40" s="6">
        <v>300</v>
      </c>
      <c r="H40" s="6">
        <v>3</v>
      </c>
      <c r="I40" s="6">
        <v>30</v>
      </c>
      <c r="J40" s="6">
        <v>85</v>
      </c>
      <c r="K40" s="6">
        <v>73</v>
      </c>
      <c r="M40" s="6" t="s">
        <v>76</v>
      </c>
      <c r="N40" s="6">
        <v>1</v>
      </c>
      <c r="P40" s="6" t="s">
        <v>77</v>
      </c>
      <c r="Q40" s="6" t="s">
        <v>78</v>
      </c>
      <c r="R40" s="6">
        <v>9101210</v>
      </c>
      <c r="S40" s="9">
        <v>0.05</v>
      </c>
      <c r="T40" s="9">
        <v>0</v>
      </c>
    </row>
    <row r="41" spans="1:20" x14ac:dyDescent="0.3">
      <c r="A41" s="6" t="s">
        <v>118</v>
      </c>
      <c r="B41" s="8" t="s">
        <v>711</v>
      </c>
      <c r="C41" s="6" t="s">
        <v>117</v>
      </c>
      <c r="D41" s="6" t="s">
        <v>35</v>
      </c>
      <c r="E41" s="6">
        <v>200</v>
      </c>
      <c r="F41" s="6" t="s">
        <v>35</v>
      </c>
      <c r="G41" s="6">
        <v>200</v>
      </c>
      <c r="H41" s="6">
        <v>6</v>
      </c>
      <c r="I41" s="6">
        <v>108</v>
      </c>
      <c r="J41" s="6">
        <v>62</v>
      </c>
      <c r="K41" s="6">
        <v>53</v>
      </c>
      <c r="M41" s="6" t="s">
        <v>81</v>
      </c>
      <c r="N41" s="6">
        <v>1</v>
      </c>
      <c r="P41" s="6" t="s">
        <v>77</v>
      </c>
      <c r="Q41" s="6" t="s">
        <v>78</v>
      </c>
      <c r="R41" s="6">
        <v>9101210</v>
      </c>
      <c r="S41" s="9">
        <v>0.05</v>
      </c>
      <c r="T41" s="9">
        <v>0</v>
      </c>
    </row>
    <row r="42" spans="1:20" x14ac:dyDescent="0.3">
      <c r="A42" s="6" t="s">
        <v>119</v>
      </c>
      <c r="B42" s="8" t="s">
        <v>710</v>
      </c>
      <c r="C42" s="6" t="s">
        <v>120</v>
      </c>
      <c r="D42" s="6" t="s">
        <v>35</v>
      </c>
      <c r="E42" s="6">
        <v>100</v>
      </c>
      <c r="F42" s="6" t="s">
        <v>35</v>
      </c>
      <c r="G42" s="6">
        <v>100</v>
      </c>
      <c r="H42" s="6">
        <v>13</v>
      </c>
      <c r="I42" s="6">
        <v>195</v>
      </c>
      <c r="J42" s="6">
        <v>35</v>
      </c>
      <c r="K42" s="6">
        <v>30</v>
      </c>
      <c r="L42" s="6" t="s">
        <v>75</v>
      </c>
      <c r="M42" s="6" t="s">
        <v>81</v>
      </c>
      <c r="N42" s="6">
        <v>1</v>
      </c>
      <c r="P42" s="6" t="s">
        <v>77</v>
      </c>
      <c r="Q42" s="6" t="s">
        <v>78</v>
      </c>
      <c r="R42" s="6">
        <v>9101210</v>
      </c>
      <c r="S42" s="9">
        <v>0.05</v>
      </c>
      <c r="T42" s="9">
        <v>0</v>
      </c>
    </row>
    <row r="43" spans="1:20" x14ac:dyDescent="0.3">
      <c r="A43" s="6" t="s">
        <v>121</v>
      </c>
      <c r="B43" s="8" t="s">
        <v>709</v>
      </c>
      <c r="C43" s="6" t="s">
        <v>117</v>
      </c>
      <c r="D43" s="6" t="s">
        <v>35</v>
      </c>
      <c r="E43" s="11">
        <v>30</v>
      </c>
      <c r="F43" s="6" t="s">
        <v>35</v>
      </c>
      <c r="G43" s="11">
        <v>30</v>
      </c>
      <c r="H43" s="6">
        <v>20</v>
      </c>
      <c r="I43" s="6">
        <v>400</v>
      </c>
      <c r="J43" s="6">
        <v>10</v>
      </c>
      <c r="K43" s="6">
        <v>7.5</v>
      </c>
      <c r="L43" s="6" t="s">
        <v>75</v>
      </c>
      <c r="M43" s="6" t="s">
        <v>81</v>
      </c>
      <c r="N43" s="6">
        <v>1</v>
      </c>
      <c r="P43" s="6" t="s">
        <v>77</v>
      </c>
      <c r="Q43" s="6" t="s">
        <v>78</v>
      </c>
      <c r="R43" s="6">
        <v>9101210</v>
      </c>
      <c r="S43" s="9">
        <v>0.05</v>
      </c>
      <c r="T43" s="9">
        <v>0</v>
      </c>
    </row>
    <row r="44" spans="1:20" x14ac:dyDescent="0.3">
      <c r="A44" s="6" t="s">
        <v>122</v>
      </c>
      <c r="B44" s="8" t="s">
        <v>708</v>
      </c>
      <c r="C44" s="6" t="s">
        <v>117</v>
      </c>
      <c r="D44" s="6" t="s">
        <v>35</v>
      </c>
      <c r="E44" s="11">
        <v>15</v>
      </c>
      <c r="F44" s="6" t="s">
        <v>35</v>
      </c>
      <c r="G44" s="11">
        <v>15</v>
      </c>
      <c r="H44" s="6">
        <v>26</v>
      </c>
      <c r="I44" s="6">
        <v>1248</v>
      </c>
      <c r="J44" s="6">
        <v>5</v>
      </c>
      <c r="K44" s="6">
        <v>3.5</v>
      </c>
      <c r="L44" s="6" t="s">
        <v>75</v>
      </c>
      <c r="M44" s="6" t="s">
        <v>81</v>
      </c>
      <c r="N44" s="6">
        <v>1</v>
      </c>
      <c r="P44" s="6" t="s">
        <v>77</v>
      </c>
      <c r="Q44" s="6" t="s">
        <v>78</v>
      </c>
      <c r="R44" s="6">
        <v>9101210</v>
      </c>
      <c r="S44" s="9">
        <v>0.05</v>
      </c>
      <c r="T44" s="9">
        <v>0</v>
      </c>
    </row>
    <row r="45" spans="1:20" x14ac:dyDescent="0.3">
      <c r="A45" s="6" t="s">
        <v>123</v>
      </c>
      <c r="B45" s="8" t="s">
        <v>707</v>
      </c>
      <c r="C45" s="6" t="s">
        <v>124</v>
      </c>
      <c r="D45" s="6" t="s">
        <v>35</v>
      </c>
      <c r="E45" s="6">
        <v>300</v>
      </c>
      <c r="F45" s="6" t="s">
        <v>35</v>
      </c>
      <c r="G45" s="6">
        <v>300</v>
      </c>
      <c r="I45" s="6">
        <v>30</v>
      </c>
      <c r="J45" s="6">
        <v>103</v>
      </c>
      <c r="K45" s="6">
        <v>91</v>
      </c>
      <c r="L45" s="6">
        <v>1</v>
      </c>
      <c r="M45" s="6" t="s">
        <v>81</v>
      </c>
      <c r="N45" s="6">
        <v>1</v>
      </c>
      <c r="P45" s="6" t="s">
        <v>77</v>
      </c>
      <c r="Q45" s="6" t="s">
        <v>78</v>
      </c>
      <c r="R45" s="6">
        <v>9101210</v>
      </c>
      <c r="S45" s="9">
        <v>0.05</v>
      </c>
      <c r="T45" s="9">
        <v>0</v>
      </c>
    </row>
    <row r="46" spans="1:20" x14ac:dyDescent="0.3">
      <c r="A46" s="6" t="s">
        <v>125</v>
      </c>
      <c r="B46" s="8" t="s">
        <v>706</v>
      </c>
      <c r="C46" s="6" t="s">
        <v>124</v>
      </c>
      <c r="D46" s="6" t="s">
        <v>35</v>
      </c>
      <c r="E46" s="6">
        <v>40</v>
      </c>
      <c r="F46" s="6" t="s">
        <v>35</v>
      </c>
      <c r="G46" s="6">
        <v>40</v>
      </c>
      <c r="H46" s="6">
        <v>10</v>
      </c>
      <c r="I46" s="6">
        <v>200</v>
      </c>
      <c r="J46" s="6">
        <v>10</v>
      </c>
      <c r="K46" s="6">
        <v>8.26</v>
      </c>
      <c r="L46" s="6" t="s">
        <v>75</v>
      </c>
      <c r="M46" s="6" t="s">
        <v>81</v>
      </c>
      <c r="N46" s="6">
        <v>1</v>
      </c>
      <c r="P46" s="6" t="s">
        <v>77</v>
      </c>
      <c r="Q46" s="6" t="s">
        <v>78</v>
      </c>
      <c r="R46" s="6">
        <v>9101210</v>
      </c>
      <c r="S46" s="9">
        <v>0.05</v>
      </c>
      <c r="T46" s="9">
        <v>0</v>
      </c>
    </row>
    <row r="47" spans="1:20" x14ac:dyDescent="0.3">
      <c r="A47" s="6" t="s">
        <v>126</v>
      </c>
      <c r="B47" s="8" t="s">
        <v>705</v>
      </c>
      <c r="C47" s="6" t="s">
        <v>127</v>
      </c>
      <c r="D47" s="6" t="s">
        <v>35</v>
      </c>
      <c r="E47" s="6">
        <v>300</v>
      </c>
      <c r="F47" s="6" t="s">
        <v>35</v>
      </c>
      <c r="G47" s="6">
        <v>300</v>
      </c>
      <c r="I47" s="6">
        <v>30</v>
      </c>
      <c r="J47" s="6">
        <v>103</v>
      </c>
      <c r="K47" s="6">
        <v>91</v>
      </c>
      <c r="L47" s="6">
        <v>1</v>
      </c>
      <c r="M47" s="6" t="s">
        <v>81</v>
      </c>
      <c r="N47" s="6">
        <v>1</v>
      </c>
      <c r="P47" s="6" t="s">
        <v>77</v>
      </c>
      <c r="Q47" s="6" t="s">
        <v>78</v>
      </c>
      <c r="R47" s="6">
        <v>9101210</v>
      </c>
      <c r="S47" s="9">
        <v>0.05</v>
      </c>
      <c r="T47" s="9">
        <v>0</v>
      </c>
    </row>
    <row r="48" spans="1:20" x14ac:dyDescent="0.3">
      <c r="A48" s="6" t="s">
        <v>128</v>
      </c>
      <c r="B48" s="8" t="s">
        <v>704</v>
      </c>
      <c r="C48" s="6" t="s">
        <v>127</v>
      </c>
      <c r="D48" s="6" t="s">
        <v>35</v>
      </c>
      <c r="E48" s="6">
        <v>40</v>
      </c>
      <c r="F48" s="6" t="s">
        <v>35</v>
      </c>
      <c r="G48" s="6">
        <v>40</v>
      </c>
      <c r="H48" s="6">
        <v>10</v>
      </c>
      <c r="I48" s="6">
        <v>200</v>
      </c>
      <c r="J48" s="6">
        <v>10</v>
      </c>
      <c r="K48" s="6">
        <v>8.26</v>
      </c>
      <c r="L48" s="6" t="s">
        <v>75</v>
      </c>
      <c r="M48" s="6" t="s">
        <v>81</v>
      </c>
      <c r="N48" s="6">
        <v>1</v>
      </c>
      <c r="P48" s="6" t="s">
        <v>77</v>
      </c>
      <c r="Q48" s="6" t="s">
        <v>78</v>
      </c>
      <c r="R48" s="6">
        <v>9101210</v>
      </c>
      <c r="S48" s="9">
        <v>0.05</v>
      </c>
      <c r="T48" s="9">
        <v>0</v>
      </c>
    </row>
    <row r="49" spans="1:20" x14ac:dyDescent="0.3">
      <c r="A49" s="6" t="s">
        <v>129</v>
      </c>
      <c r="B49" s="8" t="s">
        <v>703</v>
      </c>
      <c r="C49" s="6" t="s">
        <v>130</v>
      </c>
      <c r="D49" s="6" t="s">
        <v>35</v>
      </c>
      <c r="E49" s="11">
        <v>300</v>
      </c>
      <c r="F49" s="6" t="s">
        <v>35</v>
      </c>
      <c r="G49" s="11">
        <v>300</v>
      </c>
      <c r="I49" s="6">
        <v>30</v>
      </c>
      <c r="J49" s="6">
        <v>103</v>
      </c>
      <c r="K49" s="6">
        <v>91</v>
      </c>
      <c r="L49" s="6">
        <v>1</v>
      </c>
      <c r="M49" s="6" t="s">
        <v>76</v>
      </c>
      <c r="N49" s="6">
        <v>1</v>
      </c>
      <c r="P49" s="6" t="s">
        <v>77</v>
      </c>
      <c r="Q49" s="6" t="s">
        <v>78</v>
      </c>
      <c r="R49" s="6">
        <v>9101210</v>
      </c>
      <c r="S49" s="9">
        <v>0.05</v>
      </c>
      <c r="T49" s="9">
        <v>0</v>
      </c>
    </row>
    <row r="50" spans="1:20" x14ac:dyDescent="0.3">
      <c r="A50" s="6" t="s">
        <v>131</v>
      </c>
      <c r="B50" s="8" t="s">
        <v>702</v>
      </c>
      <c r="C50" s="6" t="s">
        <v>132</v>
      </c>
      <c r="D50" s="6" t="s">
        <v>35</v>
      </c>
      <c r="E50" s="11">
        <v>175</v>
      </c>
      <c r="F50" s="6" t="s">
        <v>35</v>
      </c>
      <c r="G50" s="11">
        <v>175</v>
      </c>
      <c r="H50" s="6">
        <v>2</v>
      </c>
      <c r="I50" s="6">
        <v>65</v>
      </c>
      <c r="J50" s="6">
        <v>133</v>
      </c>
      <c r="K50" s="6">
        <v>102</v>
      </c>
      <c r="M50" s="6" t="s">
        <v>81</v>
      </c>
      <c r="N50" s="6">
        <v>1</v>
      </c>
      <c r="P50" s="6" t="s">
        <v>77</v>
      </c>
      <c r="Q50" s="6" t="s">
        <v>78</v>
      </c>
      <c r="R50" s="6">
        <v>9101210</v>
      </c>
      <c r="S50" s="9">
        <v>0.05</v>
      </c>
      <c r="T50" s="9">
        <v>0</v>
      </c>
    </row>
    <row r="51" spans="1:20" x14ac:dyDescent="0.3">
      <c r="A51" s="6" t="s">
        <v>133</v>
      </c>
      <c r="B51" s="8" t="s">
        <v>701</v>
      </c>
      <c r="C51" s="6" t="s">
        <v>134</v>
      </c>
      <c r="D51" s="6" t="s">
        <v>35</v>
      </c>
      <c r="E51" s="11">
        <v>8</v>
      </c>
      <c r="F51" s="6" t="s">
        <v>35</v>
      </c>
      <c r="G51" s="11">
        <v>8</v>
      </c>
      <c r="H51" s="6">
        <v>10</v>
      </c>
      <c r="I51" s="6">
        <v>900</v>
      </c>
      <c r="J51" s="6">
        <v>5</v>
      </c>
      <c r="K51" s="6">
        <v>3</v>
      </c>
      <c r="L51" s="6" t="s">
        <v>75</v>
      </c>
      <c r="M51" s="6" t="s">
        <v>81</v>
      </c>
      <c r="N51" s="6">
        <v>1</v>
      </c>
      <c r="P51" s="6" t="s">
        <v>77</v>
      </c>
      <c r="Q51" s="6" t="s">
        <v>78</v>
      </c>
      <c r="R51" s="6">
        <v>21069060</v>
      </c>
      <c r="S51" s="9">
        <v>0.05</v>
      </c>
      <c r="T51" s="9">
        <v>0</v>
      </c>
    </row>
    <row r="52" spans="1:20" x14ac:dyDescent="0.3">
      <c r="A52" s="6" t="s">
        <v>135</v>
      </c>
      <c r="B52" s="8" t="s">
        <v>700</v>
      </c>
      <c r="C52" s="6" t="s">
        <v>136</v>
      </c>
      <c r="D52" s="6" t="s">
        <v>35</v>
      </c>
      <c r="E52" s="11">
        <v>100</v>
      </c>
      <c r="F52" s="6" t="s">
        <v>35</v>
      </c>
      <c r="G52" s="11">
        <v>100</v>
      </c>
      <c r="H52" s="6">
        <v>10</v>
      </c>
      <c r="I52" s="6">
        <v>120</v>
      </c>
      <c r="J52" s="6">
        <v>35</v>
      </c>
      <c r="K52" s="6">
        <v>27</v>
      </c>
      <c r="L52" s="6" t="s">
        <v>75</v>
      </c>
      <c r="M52" s="6" t="s">
        <v>66</v>
      </c>
      <c r="N52" s="6">
        <v>1</v>
      </c>
      <c r="P52" s="6" t="s">
        <v>77</v>
      </c>
      <c r="Q52" s="6" t="s">
        <v>78</v>
      </c>
      <c r="R52" s="6">
        <v>19059040</v>
      </c>
      <c r="S52" s="9">
        <v>0.05</v>
      </c>
      <c r="T52" s="9">
        <v>0</v>
      </c>
    </row>
    <row r="53" spans="1:20" x14ac:dyDescent="0.3">
      <c r="A53" s="6" t="s">
        <v>137</v>
      </c>
      <c r="B53" s="8" t="s">
        <v>699</v>
      </c>
      <c r="C53" s="6" t="s">
        <v>138</v>
      </c>
      <c r="D53" s="6" t="s">
        <v>35</v>
      </c>
      <c r="E53" s="11">
        <v>300</v>
      </c>
      <c r="F53" s="6" t="s">
        <v>35</v>
      </c>
      <c r="G53" s="11">
        <v>300</v>
      </c>
      <c r="I53" s="6">
        <v>30</v>
      </c>
      <c r="J53" s="6">
        <v>103</v>
      </c>
      <c r="K53" s="6">
        <v>91</v>
      </c>
      <c r="L53" s="6">
        <v>1</v>
      </c>
      <c r="M53" s="6" t="s">
        <v>76</v>
      </c>
      <c r="N53" s="6">
        <v>1</v>
      </c>
      <c r="P53" s="6" t="s">
        <v>77</v>
      </c>
      <c r="Q53" s="6" t="s">
        <v>78</v>
      </c>
      <c r="R53" s="6">
        <v>20019000</v>
      </c>
      <c r="S53" s="9">
        <v>0.05</v>
      </c>
      <c r="T53" s="9">
        <v>0</v>
      </c>
    </row>
    <row r="54" spans="1:20" x14ac:dyDescent="0.3">
      <c r="A54" s="6" t="s">
        <v>139</v>
      </c>
      <c r="B54" s="8" t="s">
        <v>698</v>
      </c>
      <c r="C54" s="6" t="s">
        <v>138</v>
      </c>
      <c r="D54" s="6" t="s">
        <v>35</v>
      </c>
      <c r="E54" s="11">
        <v>40</v>
      </c>
      <c r="F54" s="6" t="s">
        <v>35</v>
      </c>
      <c r="G54" s="11">
        <v>40</v>
      </c>
      <c r="H54" s="6">
        <v>10</v>
      </c>
      <c r="I54" s="6">
        <v>200</v>
      </c>
      <c r="J54" s="6">
        <v>10</v>
      </c>
      <c r="K54" s="6">
        <v>8.26</v>
      </c>
      <c r="L54" s="6" t="s">
        <v>75</v>
      </c>
      <c r="M54" s="6" t="s">
        <v>81</v>
      </c>
      <c r="N54" s="6">
        <v>1</v>
      </c>
      <c r="P54" s="6" t="s">
        <v>77</v>
      </c>
      <c r="Q54" s="6" t="s">
        <v>78</v>
      </c>
      <c r="R54" s="6">
        <v>20019000</v>
      </c>
      <c r="S54" s="9">
        <v>0.05</v>
      </c>
      <c r="T54" s="9">
        <v>0</v>
      </c>
    </row>
    <row r="55" spans="1:20" x14ac:dyDescent="0.3">
      <c r="A55" s="6" t="s">
        <v>140</v>
      </c>
      <c r="B55" s="8" t="s">
        <v>697</v>
      </c>
      <c r="C55" s="6" t="s">
        <v>141</v>
      </c>
      <c r="D55" s="6" t="s">
        <v>35</v>
      </c>
      <c r="E55" s="11">
        <v>300</v>
      </c>
      <c r="F55" s="6" t="s">
        <v>35</v>
      </c>
      <c r="G55" s="11">
        <v>300</v>
      </c>
      <c r="I55" s="6">
        <v>30</v>
      </c>
      <c r="J55" s="6">
        <v>103</v>
      </c>
      <c r="K55" s="6">
        <v>91</v>
      </c>
      <c r="L55" s="6">
        <v>1</v>
      </c>
      <c r="M55" s="6" t="s">
        <v>76</v>
      </c>
      <c r="N55" s="6">
        <v>1</v>
      </c>
      <c r="P55" s="6" t="s">
        <v>77</v>
      </c>
      <c r="Q55" s="6" t="s">
        <v>78</v>
      </c>
      <c r="R55" s="6">
        <v>20019000</v>
      </c>
      <c r="S55" s="9">
        <v>0.05</v>
      </c>
      <c r="T55" s="9">
        <v>0</v>
      </c>
    </row>
    <row r="56" spans="1:20" x14ac:dyDescent="0.3">
      <c r="A56" s="6" t="s">
        <v>142</v>
      </c>
      <c r="B56" s="8" t="s">
        <v>696</v>
      </c>
      <c r="C56" s="6" t="s">
        <v>141</v>
      </c>
      <c r="D56" s="6" t="s">
        <v>35</v>
      </c>
      <c r="E56" s="11">
        <v>40</v>
      </c>
      <c r="F56" s="6" t="s">
        <v>35</v>
      </c>
      <c r="G56" s="11">
        <v>40</v>
      </c>
      <c r="H56" s="6">
        <v>10</v>
      </c>
      <c r="I56" s="6">
        <v>200</v>
      </c>
      <c r="J56" s="6">
        <v>10</v>
      </c>
      <c r="K56" s="6">
        <v>8.26</v>
      </c>
      <c r="L56" s="6" t="s">
        <v>75</v>
      </c>
      <c r="M56" s="6" t="s">
        <v>81</v>
      </c>
      <c r="N56" s="6">
        <v>1</v>
      </c>
      <c r="P56" s="6" t="s">
        <v>77</v>
      </c>
      <c r="Q56" s="6" t="s">
        <v>78</v>
      </c>
      <c r="R56" s="6">
        <v>20019000</v>
      </c>
      <c r="S56" s="9">
        <v>0.05</v>
      </c>
      <c r="T56" s="9">
        <v>0</v>
      </c>
    </row>
    <row r="57" spans="1:20" x14ac:dyDescent="0.3">
      <c r="A57" s="6" t="s">
        <v>143</v>
      </c>
      <c r="B57" s="8" t="s">
        <v>695</v>
      </c>
      <c r="C57" s="6" t="s">
        <v>141</v>
      </c>
      <c r="D57" s="6" t="s">
        <v>97</v>
      </c>
      <c r="E57" s="11">
        <v>1</v>
      </c>
      <c r="F57" s="6" t="s">
        <v>97</v>
      </c>
      <c r="G57" s="11">
        <v>1</v>
      </c>
      <c r="I57" s="6">
        <v>12</v>
      </c>
      <c r="J57" s="6">
        <v>309</v>
      </c>
      <c r="K57" s="6">
        <v>280</v>
      </c>
      <c r="L57" s="6">
        <v>1</v>
      </c>
      <c r="M57" s="6" t="s">
        <v>98</v>
      </c>
      <c r="N57" s="6">
        <v>1</v>
      </c>
      <c r="P57" s="6" t="s">
        <v>77</v>
      </c>
      <c r="Q57" s="6" t="s">
        <v>78</v>
      </c>
      <c r="R57" s="6">
        <v>20019000</v>
      </c>
      <c r="S57" s="9">
        <v>0.05</v>
      </c>
      <c r="T57" s="9">
        <v>0</v>
      </c>
    </row>
    <row r="58" spans="1:20" x14ac:dyDescent="0.3">
      <c r="A58" s="6" t="s">
        <v>144</v>
      </c>
      <c r="B58" s="8" t="s">
        <v>694</v>
      </c>
      <c r="C58" s="6" t="s">
        <v>145</v>
      </c>
      <c r="D58" s="6" t="s">
        <v>35</v>
      </c>
      <c r="E58" s="11">
        <v>300</v>
      </c>
      <c r="F58" s="6" t="s">
        <v>35</v>
      </c>
      <c r="G58" s="11">
        <v>300</v>
      </c>
      <c r="I58" s="6">
        <v>30</v>
      </c>
      <c r="J58" s="6">
        <v>103</v>
      </c>
      <c r="K58" s="6">
        <v>91</v>
      </c>
      <c r="L58" s="6">
        <v>1</v>
      </c>
      <c r="M58" s="6" t="s">
        <v>76</v>
      </c>
      <c r="N58" s="6">
        <v>1</v>
      </c>
      <c r="P58" s="6" t="s">
        <v>77</v>
      </c>
      <c r="Q58" s="6" t="s">
        <v>78</v>
      </c>
      <c r="R58" s="6">
        <v>20019000</v>
      </c>
      <c r="S58" s="9">
        <v>0.05</v>
      </c>
      <c r="T58" s="9">
        <v>0</v>
      </c>
    </row>
    <row r="59" spans="1:20" x14ac:dyDescent="0.3">
      <c r="A59" s="6" t="s">
        <v>146</v>
      </c>
      <c r="B59" s="8" t="s">
        <v>693</v>
      </c>
      <c r="C59" s="6" t="s">
        <v>145</v>
      </c>
      <c r="D59" s="6" t="s">
        <v>35</v>
      </c>
      <c r="E59" s="11">
        <v>40</v>
      </c>
      <c r="F59" s="6" t="s">
        <v>35</v>
      </c>
      <c r="G59" s="11">
        <v>40</v>
      </c>
      <c r="H59" s="6">
        <v>10</v>
      </c>
      <c r="I59" s="6">
        <v>200</v>
      </c>
      <c r="J59" s="6">
        <v>10</v>
      </c>
      <c r="K59" s="6">
        <v>8.26</v>
      </c>
      <c r="L59" s="6" t="s">
        <v>75</v>
      </c>
      <c r="M59" s="6" t="s">
        <v>81</v>
      </c>
      <c r="N59" s="6">
        <v>1</v>
      </c>
      <c r="P59" s="6" t="s">
        <v>77</v>
      </c>
      <c r="Q59" s="6" t="s">
        <v>78</v>
      </c>
      <c r="R59" s="6">
        <v>20019000</v>
      </c>
      <c r="S59" s="9">
        <v>0.05</v>
      </c>
      <c r="T59" s="9">
        <v>0</v>
      </c>
    </row>
    <row r="60" spans="1:20" x14ac:dyDescent="0.3">
      <c r="A60" s="6" t="s">
        <v>147</v>
      </c>
      <c r="B60" s="8" t="s">
        <v>692</v>
      </c>
      <c r="C60" s="6" t="s">
        <v>148</v>
      </c>
      <c r="D60" s="6" t="s">
        <v>35</v>
      </c>
      <c r="E60" s="11">
        <v>100</v>
      </c>
      <c r="F60" s="6" t="s">
        <v>35</v>
      </c>
      <c r="G60" s="11">
        <v>100</v>
      </c>
      <c r="H60" s="6">
        <v>10</v>
      </c>
      <c r="I60" s="6">
        <v>120</v>
      </c>
      <c r="J60" s="6">
        <v>35</v>
      </c>
      <c r="K60" s="6">
        <v>27</v>
      </c>
      <c r="L60" s="6" t="s">
        <v>75</v>
      </c>
      <c r="M60" s="6" t="s">
        <v>66</v>
      </c>
      <c r="N60" s="6">
        <v>1</v>
      </c>
      <c r="P60" s="6" t="s">
        <v>77</v>
      </c>
      <c r="Q60" s="6" t="s">
        <v>78</v>
      </c>
      <c r="R60" s="6">
        <v>19059040</v>
      </c>
      <c r="S60" s="9">
        <v>0.05</v>
      </c>
      <c r="T60" s="9">
        <v>0</v>
      </c>
    </row>
    <row r="61" spans="1:20" x14ac:dyDescent="0.3">
      <c r="A61" s="6" t="s">
        <v>149</v>
      </c>
      <c r="B61" s="8" t="s">
        <v>691</v>
      </c>
      <c r="C61" s="6" t="s">
        <v>150</v>
      </c>
      <c r="D61" s="6" t="s">
        <v>35</v>
      </c>
      <c r="E61" s="11">
        <v>8</v>
      </c>
      <c r="F61" s="6" t="s">
        <v>35</v>
      </c>
      <c r="G61" s="11">
        <v>8</v>
      </c>
      <c r="H61" s="6">
        <v>10</v>
      </c>
      <c r="I61" s="6">
        <v>900</v>
      </c>
      <c r="J61" s="6">
        <v>5</v>
      </c>
      <c r="K61" s="6">
        <v>3</v>
      </c>
      <c r="L61" s="6" t="s">
        <v>75</v>
      </c>
      <c r="M61" s="6" t="s">
        <v>81</v>
      </c>
      <c r="N61" s="6">
        <v>1</v>
      </c>
      <c r="P61" s="6" t="s">
        <v>77</v>
      </c>
      <c r="Q61" s="6" t="s">
        <v>78</v>
      </c>
      <c r="R61" s="6">
        <v>9101210</v>
      </c>
      <c r="S61" s="9">
        <v>0.05</v>
      </c>
      <c r="T61" s="9">
        <v>0</v>
      </c>
    </row>
    <row r="62" spans="1:20" x14ac:dyDescent="0.3">
      <c r="A62" s="6" t="s">
        <v>151</v>
      </c>
      <c r="B62" s="8" t="s">
        <v>690</v>
      </c>
      <c r="C62" s="6" t="s">
        <v>152</v>
      </c>
      <c r="D62" s="6" t="s">
        <v>35</v>
      </c>
      <c r="E62" s="11">
        <v>300</v>
      </c>
      <c r="F62" s="6" t="s">
        <v>35</v>
      </c>
      <c r="G62" s="11">
        <v>300</v>
      </c>
      <c r="I62" s="6">
        <v>30</v>
      </c>
      <c r="J62" s="6">
        <v>103</v>
      </c>
      <c r="K62" s="6">
        <v>91</v>
      </c>
      <c r="L62" s="6">
        <v>1</v>
      </c>
      <c r="M62" s="6" t="s">
        <v>76</v>
      </c>
      <c r="N62" s="6">
        <v>1</v>
      </c>
      <c r="P62" s="6" t="s">
        <v>77</v>
      </c>
      <c r="Q62" s="6" t="s">
        <v>78</v>
      </c>
      <c r="R62" s="6">
        <v>20019000</v>
      </c>
      <c r="S62" s="9">
        <v>0.05</v>
      </c>
      <c r="T62" s="9">
        <v>0</v>
      </c>
    </row>
    <row r="63" spans="1:20" x14ac:dyDescent="0.3">
      <c r="A63" s="6" t="s">
        <v>153</v>
      </c>
      <c r="B63" s="8" t="s">
        <v>689</v>
      </c>
      <c r="C63" s="6" t="s">
        <v>152</v>
      </c>
      <c r="D63" s="6" t="s">
        <v>35</v>
      </c>
      <c r="E63" s="11">
        <v>40</v>
      </c>
      <c r="F63" s="6" t="s">
        <v>35</v>
      </c>
      <c r="G63" s="11">
        <v>40</v>
      </c>
      <c r="H63" s="6">
        <v>10</v>
      </c>
      <c r="I63" s="6">
        <v>200</v>
      </c>
      <c r="J63" s="6">
        <v>10</v>
      </c>
      <c r="K63" s="6">
        <v>8.26</v>
      </c>
      <c r="L63" s="6" t="s">
        <v>75</v>
      </c>
      <c r="M63" s="6" t="s">
        <v>81</v>
      </c>
      <c r="N63" s="6">
        <v>1</v>
      </c>
      <c r="P63" s="6" t="s">
        <v>77</v>
      </c>
      <c r="Q63" s="6" t="s">
        <v>78</v>
      </c>
      <c r="R63" s="6">
        <v>20019000</v>
      </c>
      <c r="S63" s="9">
        <v>0.05</v>
      </c>
      <c r="T63" s="9">
        <v>0</v>
      </c>
    </row>
    <row r="64" spans="1:20" x14ac:dyDescent="0.3">
      <c r="A64" s="6" t="s">
        <v>154</v>
      </c>
      <c r="B64" s="8" t="s">
        <v>688</v>
      </c>
      <c r="C64" s="6" t="s">
        <v>155</v>
      </c>
      <c r="D64" s="6" t="s">
        <v>35</v>
      </c>
      <c r="E64" s="11">
        <v>25</v>
      </c>
      <c r="F64" s="6" t="s">
        <v>35</v>
      </c>
      <c r="G64" s="11">
        <v>25</v>
      </c>
      <c r="H64" s="6">
        <v>10</v>
      </c>
      <c r="I64" s="6">
        <v>440</v>
      </c>
      <c r="J64" s="6">
        <v>10</v>
      </c>
      <c r="K64" s="6">
        <v>8.6999999999999993</v>
      </c>
      <c r="L64" s="6" t="s">
        <v>75</v>
      </c>
      <c r="M64" s="6" t="s">
        <v>81</v>
      </c>
      <c r="N64" s="6">
        <v>1</v>
      </c>
      <c r="P64" s="6" t="s">
        <v>77</v>
      </c>
      <c r="Q64" s="6" t="s">
        <v>78</v>
      </c>
      <c r="R64" s="6">
        <v>21069060</v>
      </c>
      <c r="S64" s="9">
        <v>0.05</v>
      </c>
      <c r="T64" s="9">
        <v>0</v>
      </c>
    </row>
    <row r="65" spans="1:20" x14ac:dyDescent="0.3">
      <c r="A65" s="6" t="s">
        <v>156</v>
      </c>
      <c r="B65" s="8" t="s">
        <v>687</v>
      </c>
      <c r="C65" s="6" t="s">
        <v>155</v>
      </c>
      <c r="D65" s="6" t="s">
        <v>35</v>
      </c>
      <c r="E65" s="11">
        <v>90</v>
      </c>
      <c r="F65" s="6" t="s">
        <v>35</v>
      </c>
      <c r="G65" s="11">
        <v>90</v>
      </c>
      <c r="H65" s="6">
        <v>5</v>
      </c>
      <c r="I65" s="6">
        <v>180</v>
      </c>
      <c r="J65" s="6">
        <v>31</v>
      </c>
      <c r="K65" s="6">
        <v>27.25</v>
      </c>
      <c r="L65" s="6" t="s">
        <v>75</v>
      </c>
      <c r="M65" s="6" t="s">
        <v>81</v>
      </c>
      <c r="N65" s="6">
        <v>1</v>
      </c>
      <c r="P65" s="6" t="s">
        <v>77</v>
      </c>
      <c r="Q65" s="6" t="s">
        <v>78</v>
      </c>
      <c r="R65" s="6">
        <v>21069060</v>
      </c>
      <c r="S65" s="9">
        <v>0.05</v>
      </c>
      <c r="T65" s="9">
        <v>0</v>
      </c>
    </row>
    <row r="66" spans="1:20" x14ac:dyDescent="0.3">
      <c r="A66" s="6" t="s">
        <v>157</v>
      </c>
      <c r="B66" s="8" t="s">
        <v>686</v>
      </c>
      <c r="C66" s="6" t="s">
        <v>158</v>
      </c>
      <c r="D66" s="6" t="s">
        <v>97</v>
      </c>
      <c r="E66" s="11">
        <v>1</v>
      </c>
      <c r="F66" s="6" t="s">
        <v>97</v>
      </c>
      <c r="G66" s="11">
        <v>1</v>
      </c>
      <c r="I66" s="6">
        <v>12</v>
      </c>
      <c r="J66" s="6">
        <v>141</v>
      </c>
      <c r="K66" s="6">
        <v>99</v>
      </c>
      <c r="L66" s="6">
        <v>1</v>
      </c>
      <c r="M66" s="6" t="s">
        <v>98</v>
      </c>
      <c r="N66" s="6">
        <v>1</v>
      </c>
      <c r="P66" s="6" t="s">
        <v>77</v>
      </c>
      <c r="Q66" s="6" t="s">
        <v>78</v>
      </c>
      <c r="R66" s="6">
        <v>20019000</v>
      </c>
      <c r="S66" s="9">
        <v>0.05</v>
      </c>
      <c r="T66" s="9">
        <v>0</v>
      </c>
    </row>
    <row r="67" spans="1:20" x14ac:dyDescent="0.3">
      <c r="A67" s="6" t="s">
        <v>159</v>
      </c>
      <c r="B67" s="8" t="s">
        <v>685</v>
      </c>
      <c r="C67" s="6" t="s">
        <v>158</v>
      </c>
      <c r="D67" s="6" t="s">
        <v>35</v>
      </c>
      <c r="E67" s="11">
        <v>500</v>
      </c>
      <c r="F67" s="6" t="s">
        <v>35</v>
      </c>
      <c r="G67" s="11">
        <v>500</v>
      </c>
      <c r="I67" s="6">
        <v>20</v>
      </c>
      <c r="J67" s="6">
        <v>75</v>
      </c>
      <c r="K67" s="6">
        <v>55</v>
      </c>
      <c r="L67" s="6">
        <v>1</v>
      </c>
      <c r="M67" s="6" t="s">
        <v>98</v>
      </c>
      <c r="N67" s="6">
        <v>1</v>
      </c>
      <c r="P67" s="6" t="s">
        <v>77</v>
      </c>
      <c r="Q67" s="6" t="s">
        <v>78</v>
      </c>
      <c r="R67" s="6">
        <v>20019000</v>
      </c>
      <c r="S67" s="9">
        <v>0.05</v>
      </c>
      <c r="T67" s="9">
        <v>0</v>
      </c>
    </row>
    <row r="68" spans="1:20" x14ac:dyDescent="0.3">
      <c r="A68" s="6" t="s">
        <v>160</v>
      </c>
      <c r="B68" s="8" t="s">
        <v>684</v>
      </c>
      <c r="C68" s="6" t="s">
        <v>161</v>
      </c>
      <c r="D68" s="6" t="s">
        <v>97</v>
      </c>
      <c r="E68" s="11">
        <v>1</v>
      </c>
      <c r="F68" s="6" t="s">
        <v>97</v>
      </c>
      <c r="G68" s="11">
        <v>1</v>
      </c>
      <c r="I68" s="6">
        <v>12</v>
      </c>
      <c r="J68" s="6">
        <v>141</v>
      </c>
      <c r="K68" s="6">
        <v>99</v>
      </c>
      <c r="L68" s="6">
        <v>1</v>
      </c>
      <c r="M68" s="6" t="s">
        <v>98</v>
      </c>
      <c r="N68" s="6">
        <v>1</v>
      </c>
      <c r="P68" s="6" t="s">
        <v>77</v>
      </c>
      <c r="Q68" s="6" t="s">
        <v>78</v>
      </c>
      <c r="R68" s="6">
        <v>20019000</v>
      </c>
      <c r="S68" s="9">
        <v>0.05</v>
      </c>
      <c r="T68" s="9">
        <v>0</v>
      </c>
    </row>
    <row r="69" spans="1:20" x14ac:dyDescent="0.3">
      <c r="A69" s="6" t="s">
        <v>162</v>
      </c>
      <c r="B69" s="8" t="s">
        <v>683</v>
      </c>
      <c r="C69" s="6" t="s">
        <v>161</v>
      </c>
      <c r="D69" s="6" t="s">
        <v>35</v>
      </c>
      <c r="E69" s="11">
        <v>500</v>
      </c>
      <c r="F69" s="6" t="s">
        <v>35</v>
      </c>
      <c r="G69" s="11">
        <v>500</v>
      </c>
      <c r="I69" s="6">
        <v>20</v>
      </c>
      <c r="J69" s="6">
        <v>75</v>
      </c>
      <c r="K69" s="6">
        <v>55</v>
      </c>
      <c r="L69" s="6">
        <v>1</v>
      </c>
      <c r="M69" s="6" t="s">
        <v>98</v>
      </c>
      <c r="N69" s="6">
        <v>1</v>
      </c>
      <c r="P69" s="6" t="s">
        <v>77</v>
      </c>
      <c r="Q69" s="6" t="s">
        <v>78</v>
      </c>
      <c r="R69" s="6">
        <v>20019000</v>
      </c>
      <c r="S69" s="9">
        <v>0.05</v>
      </c>
      <c r="T69" s="9">
        <v>0</v>
      </c>
    </row>
    <row r="70" spans="1:20" x14ac:dyDescent="0.3">
      <c r="A70" s="6" t="s">
        <v>163</v>
      </c>
      <c r="B70" s="8" t="s">
        <v>682</v>
      </c>
      <c r="C70" s="6" t="s">
        <v>164</v>
      </c>
      <c r="D70" s="6" t="s">
        <v>35</v>
      </c>
      <c r="E70" s="11">
        <v>8</v>
      </c>
      <c r="F70" s="6" t="s">
        <v>35</v>
      </c>
      <c r="G70" s="11">
        <v>8</v>
      </c>
      <c r="H70" s="6">
        <v>10</v>
      </c>
      <c r="I70" s="6">
        <v>900</v>
      </c>
      <c r="J70" s="6">
        <v>5</v>
      </c>
      <c r="K70" s="6">
        <v>3</v>
      </c>
      <c r="L70" s="6" t="s">
        <v>75</v>
      </c>
      <c r="M70" s="6" t="s">
        <v>81</v>
      </c>
      <c r="N70" s="6">
        <v>1</v>
      </c>
      <c r="P70" s="6" t="s">
        <v>77</v>
      </c>
      <c r="Q70" s="6" t="s">
        <v>78</v>
      </c>
      <c r="R70" s="6">
        <v>9101210</v>
      </c>
      <c r="S70" s="9">
        <v>0.05</v>
      </c>
      <c r="T70" s="9">
        <v>0</v>
      </c>
    </row>
    <row r="71" spans="1:20" x14ac:dyDescent="0.3">
      <c r="A71" s="6" t="s">
        <v>165</v>
      </c>
      <c r="B71" s="8" t="s">
        <v>681</v>
      </c>
      <c r="C71" s="6" t="s">
        <v>166</v>
      </c>
      <c r="D71" s="6" t="s">
        <v>35</v>
      </c>
      <c r="E71" s="11">
        <v>300</v>
      </c>
      <c r="F71" s="6" t="s">
        <v>35</v>
      </c>
      <c r="G71" s="11">
        <v>300</v>
      </c>
      <c r="I71" s="6">
        <v>30</v>
      </c>
      <c r="J71" s="6">
        <v>103</v>
      </c>
      <c r="K71" s="6">
        <v>91</v>
      </c>
      <c r="L71" s="6">
        <v>1</v>
      </c>
      <c r="M71" s="6" t="s">
        <v>76</v>
      </c>
      <c r="N71" s="6">
        <v>1</v>
      </c>
      <c r="P71" s="6" t="s">
        <v>77</v>
      </c>
      <c r="Q71" s="6" t="s">
        <v>78</v>
      </c>
      <c r="R71" s="6">
        <v>20019000</v>
      </c>
      <c r="S71" s="9">
        <v>0.05</v>
      </c>
      <c r="T71" s="9">
        <v>0</v>
      </c>
    </row>
    <row r="72" spans="1:20" x14ac:dyDescent="0.3">
      <c r="A72" s="6" t="s">
        <v>167</v>
      </c>
      <c r="B72" s="8" t="s">
        <v>680</v>
      </c>
      <c r="C72" s="6" t="s">
        <v>166</v>
      </c>
      <c r="D72" s="6" t="s">
        <v>35</v>
      </c>
      <c r="E72" s="11">
        <v>40</v>
      </c>
      <c r="F72" s="6" t="s">
        <v>35</v>
      </c>
      <c r="G72" s="11">
        <v>40</v>
      </c>
      <c r="H72" s="6">
        <v>10</v>
      </c>
      <c r="I72" s="6">
        <v>200</v>
      </c>
      <c r="J72" s="6">
        <v>10</v>
      </c>
      <c r="K72" s="6">
        <v>8.26</v>
      </c>
      <c r="L72" s="6" t="s">
        <v>75</v>
      </c>
      <c r="M72" s="6" t="s">
        <v>81</v>
      </c>
      <c r="N72" s="6">
        <v>1</v>
      </c>
      <c r="P72" s="6" t="s">
        <v>77</v>
      </c>
      <c r="Q72" s="6" t="s">
        <v>78</v>
      </c>
      <c r="R72" s="6">
        <v>20019000</v>
      </c>
      <c r="S72" s="9">
        <v>0.05</v>
      </c>
      <c r="T72" s="9">
        <v>0</v>
      </c>
    </row>
    <row r="73" spans="1:20" x14ac:dyDescent="0.3">
      <c r="A73" s="6" t="s">
        <v>168</v>
      </c>
      <c r="B73" s="8" t="s">
        <v>679</v>
      </c>
      <c r="C73" s="6" t="s">
        <v>169</v>
      </c>
      <c r="D73" s="6" t="s">
        <v>35</v>
      </c>
      <c r="E73" s="11">
        <v>8</v>
      </c>
      <c r="F73" s="6" t="s">
        <v>35</v>
      </c>
      <c r="G73" s="11">
        <v>8</v>
      </c>
      <c r="H73" s="6">
        <v>10</v>
      </c>
      <c r="I73" s="6">
        <v>900</v>
      </c>
      <c r="J73" s="6">
        <v>5</v>
      </c>
      <c r="K73" s="6">
        <v>3</v>
      </c>
      <c r="L73" s="6" t="s">
        <v>75</v>
      </c>
      <c r="M73" s="6" t="s">
        <v>81</v>
      </c>
      <c r="N73" s="6">
        <v>1</v>
      </c>
      <c r="P73" s="6" t="s">
        <v>77</v>
      </c>
      <c r="Q73" s="6" t="s">
        <v>78</v>
      </c>
      <c r="R73" s="6">
        <v>9101210</v>
      </c>
      <c r="S73" s="9">
        <v>0.05</v>
      </c>
      <c r="T73" s="9">
        <v>0</v>
      </c>
    </row>
    <row r="74" spans="1:20" x14ac:dyDescent="0.3">
      <c r="A74" s="6" t="s">
        <v>170</v>
      </c>
      <c r="B74" s="8" t="s">
        <v>678</v>
      </c>
      <c r="C74" s="6" t="s">
        <v>171</v>
      </c>
      <c r="D74" s="6" t="s">
        <v>35</v>
      </c>
      <c r="E74" s="11">
        <v>100</v>
      </c>
      <c r="F74" s="6" t="s">
        <v>35</v>
      </c>
      <c r="G74" s="11">
        <v>100</v>
      </c>
      <c r="H74" s="6">
        <v>3</v>
      </c>
      <c r="I74" s="6">
        <v>156</v>
      </c>
      <c r="J74" s="6">
        <v>28</v>
      </c>
      <c r="K74" s="6">
        <v>24</v>
      </c>
      <c r="M74" s="6" t="s">
        <v>81</v>
      </c>
      <c r="N74" s="6">
        <v>1</v>
      </c>
      <c r="P74" s="6" t="s">
        <v>77</v>
      </c>
      <c r="Q74" s="6" t="s">
        <v>78</v>
      </c>
      <c r="R74" s="6">
        <v>9101290</v>
      </c>
      <c r="S74" s="9">
        <v>0.05</v>
      </c>
      <c r="T74" s="9">
        <v>0</v>
      </c>
    </row>
    <row r="75" spans="1:20" x14ac:dyDescent="0.3">
      <c r="A75" s="6" t="s">
        <v>172</v>
      </c>
      <c r="B75" s="8" t="s">
        <v>677</v>
      </c>
      <c r="C75" s="6" t="s">
        <v>173</v>
      </c>
      <c r="D75" s="6" t="s">
        <v>35</v>
      </c>
      <c r="E75" s="11">
        <v>40</v>
      </c>
      <c r="F75" s="6" t="s">
        <v>35</v>
      </c>
      <c r="G75" s="11">
        <v>40</v>
      </c>
      <c r="H75" s="6">
        <v>10</v>
      </c>
      <c r="I75" s="6">
        <v>200</v>
      </c>
      <c r="J75" s="6">
        <v>10</v>
      </c>
      <c r="K75" s="6">
        <v>8.26</v>
      </c>
      <c r="L75" s="6" t="s">
        <v>75</v>
      </c>
      <c r="M75" s="6" t="s">
        <v>81</v>
      </c>
      <c r="N75" s="6">
        <v>1</v>
      </c>
      <c r="P75" s="6" t="s">
        <v>77</v>
      </c>
      <c r="Q75" s="6" t="s">
        <v>78</v>
      </c>
      <c r="R75" s="6">
        <v>20019000</v>
      </c>
      <c r="S75" s="9">
        <v>0.05</v>
      </c>
      <c r="T75" s="9">
        <v>0</v>
      </c>
    </row>
    <row r="76" spans="1:20" x14ac:dyDescent="0.3">
      <c r="A76" s="6" t="s">
        <v>174</v>
      </c>
      <c r="B76" s="8" t="s">
        <v>676</v>
      </c>
      <c r="C76" s="6" t="s">
        <v>173</v>
      </c>
      <c r="D76" s="6" t="s">
        <v>35</v>
      </c>
      <c r="E76" s="11">
        <v>300</v>
      </c>
      <c r="F76" s="6" t="s">
        <v>35</v>
      </c>
      <c r="G76" s="11">
        <v>300</v>
      </c>
      <c r="I76" s="6">
        <v>30</v>
      </c>
      <c r="J76" s="6">
        <v>103</v>
      </c>
      <c r="K76" s="6">
        <v>91</v>
      </c>
      <c r="L76" s="6">
        <v>1</v>
      </c>
      <c r="M76" s="6" t="s">
        <v>76</v>
      </c>
      <c r="N76" s="6">
        <v>1</v>
      </c>
      <c r="P76" s="6" t="s">
        <v>77</v>
      </c>
      <c r="Q76" s="6" t="s">
        <v>78</v>
      </c>
      <c r="R76" s="6">
        <v>20019000</v>
      </c>
      <c r="S76" s="9">
        <v>0.05</v>
      </c>
      <c r="T76" s="9">
        <v>0</v>
      </c>
    </row>
    <row r="77" spans="1:20" x14ac:dyDescent="0.3">
      <c r="A77" s="6" t="s">
        <v>175</v>
      </c>
      <c r="B77" s="8" t="s">
        <v>675</v>
      </c>
      <c r="C77" s="6" t="s">
        <v>176</v>
      </c>
      <c r="D77" s="6" t="s">
        <v>35</v>
      </c>
      <c r="E77" s="11">
        <v>20</v>
      </c>
      <c r="F77" s="6" t="s">
        <v>35</v>
      </c>
      <c r="G77" s="11">
        <v>20</v>
      </c>
      <c r="H77" s="6">
        <v>20</v>
      </c>
      <c r="I77" s="6">
        <v>1000</v>
      </c>
      <c r="J77" s="6">
        <v>5</v>
      </c>
      <c r="K77" s="6">
        <v>3.5</v>
      </c>
      <c r="L77" s="6" t="s">
        <v>75</v>
      </c>
      <c r="M77" s="6" t="s">
        <v>81</v>
      </c>
      <c r="N77" s="6">
        <v>1</v>
      </c>
      <c r="P77" s="6" t="s">
        <v>77</v>
      </c>
      <c r="Q77" s="6" t="s">
        <v>78</v>
      </c>
      <c r="R77" s="6">
        <v>9101210</v>
      </c>
      <c r="S77" s="9">
        <v>0.05</v>
      </c>
      <c r="T77" s="9">
        <v>0</v>
      </c>
    </row>
    <row r="78" spans="1:20" x14ac:dyDescent="0.3">
      <c r="A78" s="6" t="s">
        <v>177</v>
      </c>
      <c r="B78" s="8" t="s">
        <v>674</v>
      </c>
      <c r="C78" s="6" t="s">
        <v>176</v>
      </c>
      <c r="D78" s="6" t="s">
        <v>35</v>
      </c>
      <c r="E78" s="11">
        <v>100</v>
      </c>
      <c r="F78" s="6" t="s">
        <v>35</v>
      </c>
      <c r="G78" s="11">
        <v>100</v>
      </c>
      <c r="H78" s="6">
        <v>20</v>
      </c>
      <c r="I78" s="6">
        <v>200</v>
      </c>
      <c r="J78" s="6">
        <v>34</v>
      </c>
      <c r="K78" s="6">
        <v>23</v>
      </c>
      <c r="L78" s="6" t="s">
        <v>75</v>
      </c>
      <c r="M78" s="6" t="s">
        <v>81</v>
      </c>
      <c r="N78" s="6">
        <v>1</v>
      </c>
      <c r="P78" s="6" t="s">
        <v>77</v>
      </c>
      <c r="Q78" s="6" t="s">
        <v>78</v>
      </c>
      <c r="R78" s="6">
        <v>9101210</v>
      </c>
      <c r="S78" s="9">
        <v>0.05</v>
      </c>
      <c r="T78" s="9">
        <v>0</v>
      </c>
    </row>
    <row r="79" spans="1:20" x14ac:dyDescent="0.3">
      <c r="A79" s="6" t="s">
        <v>178</v>
      </c>
      <c r="B79" s="8" t="s">
        <v>673</v>
      </c>
      <c r="C79" s="6" t="s">
        <v>176</v>
      </c>
      <c r="D79" s="6" t="s">
        <v>35</v>
      </c>
      <c r="E79" s="11">
        <v>50</v>
      </c>
      <c r="F79" s="6" t="s">
        <v>35</v>
      </c>
      <c r="G79" s="11">
        <v>50</v>
      </c>
      <c r="H79" s="6">
        <v>20</v>
      </c>
      <c r="I79" s="6">
        <v>400</v>
      </c>
      <c r="J79" s="6">
        <v>20</v>
      </c>
      <c r="K79" s="6">
        <v>11.5</v>
      </c>
      <c r="L79" s="6" t="s">
        <v>75</v>
      </c>
      <c r="M79" s="6" t="s">
        <v>81</v>
      </c>
      <c r="N79" s="6">
        <v>1</v>
      </c>
      <c r="P79" s="6" t="s">
        <v>77</v>
      </c>
      <c r="Q79" s="6" t="s">
        <v>78</v>
      </c>
      <c r="R79" s="6">
        <v>9101210</v>
      </c>
      <c r="S79" s="9">
        <v>0.05</v>
      </c>
      <c r="T79" s="9">
        <v>0</v>
      </c>
    </row>
    <row r="80" spans="1:20" x14ac:dyDescent="0.3">
      <c r="A80" s="6" t="s">
        <v>179</v>
      </c>
      <c r="B80" s="8" t="s">
        <v>672</v>
      </c>
      <c r="C80" s="6" t="s">
        <v>176</v>
      </c>
      <c r="D80" s="6" t="s">
        <v>35</v>
      </c>
      <c r="E80" s="11">
        <v>200</v>
      </c>
      <c r="F80" s="6" t="s">
        <v>35</v>
      </c>
      <c r="G80" s="11">
        <v>200</v>
      </c>
      <c r="H80" s="6">
        <v>10</v>
      </c>
      <c r="I80" s="6">
        <v>100</v>
      </c>
      <c r="J80" s="6">
        <v>60</v>
      </c>
      <c r="K80" s="6">
        <v>46</v>
      </c>
      <c r="L80" s="6" t="s">
        <v>75</v>
      </c>
      <c r="M80" s="6" t="s">
        <v>81</v>
      </c>
      <c r="N80" s="6">
        <v>1</v>
      </c>
      <c r="P80" s="6" t="s">
        <v>77</v>
      </c>
      <c r="Q80" s="6" t="s">
        <v>78</v>
      </c>
      <c r="R80" s="6">
        <v>9101210</v>
      </c>
      <c r="S80" s="9">
        <v>0.05</v>
      </c>
      <c r="T80" s="9">
        <v>0</v>
      </c>
    </row>
    <row r="81" spans="1:20" x14ac:dyDescent="0.3">
      <c r="A81" s="6" t="s">
        <v>180</v>
      </c>
      <c r="B81" s="8" t="s">
        <v>671</v>
      </c>
      <c r="C81" s="6" t="s">
        <v>176</v>
      </c>
      <c r="D81" s="6" t="s">
        <v>35</v>
      </c>
      <c r="E81" s="11">
        <v>500</v>
      </c>
      <c r="F81" s="6" t="s">
        <v>35</v>
      </c>
      <c r="G81" s="11">
        <v>500</v>
      </c>
      <c r="I81" s="6">
        <v>40</v>
      </c>
      <c r="J81" s="6">
        <v>170</v>
      </c>
      <c r="K81" s="6">
        <v>115</v>
      </c>
      <c r="L81" s="6">
        <v>1</v>
      </c>
      <c r="M81" s="6" t="s">
        <v>98</v>
      </c>
      <c r="N81" s="6">
        <v>1</v>
      </c>
      <c r="P81" s="6" t="s">
        <v>77</v>
      </c>
      <c r="Q81" s="6" t="s">
        <v>78</v>
      </c>
      <c r="R81" s="6">
        <v>9101210</v>
      </c>
      <c r="S81" s="9">
        <v>0.05</v>
      </c>
      <c r="T81" s="9">
        <v>0</v>
      </c>
    </row>
    <row r="82" spans="1:20" x14ac:dyDescent="0.3">
      <c r="A82" s="6" t="s">
        <v>181</v>
      </c>
      <c r="B82" s="8" t="s">
        <v>670</v>
      </c>
      <c r="C82" s="6" t="s">
        <v>182</v>
      </c>
      <c r="D82" s="6" t="s">
        <v>35</v>
      </c>
      <c r="E82" s="11">
        <v>100</v>
      </c>
      <c r="F82" s="6" t="s">
        <v>35</v>
      </c>
      <c r="G82" s="11">
        <v>100</v>
      </c>
      <c r="H82" s="6">
        <v>12</v>
      </c>
      <c r="I82" s="6">
        <v>275</v>
      </c>
      <c r="J82" s="6">
        <v>30</v>
      </c>
      <c r="K82" s="6">
        <v>20</v>
      </c>
      <c r="L82" s="6" t="s">
        <v>75</v>
      </c>
      <c r="M82" s="6" t="s">
        <v>66</v>
      </c>
      <c r="N82" s="6">
        <v>1</v>
      </c>
      <c r="P82" s="6" t="s">
        <v>77</v>
      </c>
      <c r="Q82" s="6" t="s">
        <v>78</v>
      </c>
      <c r="R82" s="6">
        <v>19059040</v>
      </c>
      <c r="S82" s="9">
        <v>0.05</v>
      </c>
      <c r="T82" s="9">
        <v>0</v>
      </c>
    </row>
    <row r="83" spans="1:20" x14ac:dyDescent="0.3">
      <c r="A83" s="6" t="s">
        <v>183</v>
      </c>
      <c r="B83" s="8" t="s">
        <v>663</v>
      </c>
      <c r="C83" s="6" t="s">
        <v>184</v>
      </c>
      <c r="D83" s="6" t="s">
        <v>185</v>
      </c>
      <c r="E83" s="11">
        <v>500</v>
      </c>
      <c r="F83" s="6" t="s">
        <v>35</v>
      </c>
      <c r="G83" s="11">
        <v>500</v>
      </c>
      <c r="I83" s="6">
        <v>24</v>
      </c>
      <c r="J83" s="6">
        <v>449</v>
      </c>
      <c r="K83" s="6">
        <v>382</v>
      </c>
      <c r="L83" s="6">
        <v>1</v>
      </c>
      <c r="M83" s="6" t="s">
        <v>98</v>
      </c>
      <c r="N83" s="6">
        <v>1</v>
      </c>
      <c r="P83" s="6" t="s">
        <v>186</v>
      </c>
      <c r="Q83" s="6" t="s">
        <v>187</v>
      </c>
      <c r="R83" s="6">
        <v>4059020</v>
      </c>
      <c r="S83" s="9">
        <v>0.05</v>
      </c>
      <c r="T83" s="9">
        <v>0</v>
      </c>
    </row>
    <row r="84" spans="1:20" x14ac:dyDescent="0.3">
      <c r="A84" s="6" t="s">
        <v>188</v>
      </c>
      <c r="B84" s="8" t="s">
        <v>669</v>
      </c>
      <c r="C84" s="6" t="s">
        <v>184</v>
      </c>
      <c r="D84" s="6" t="s">
        <v>189</v>
      </c>
      <c r="E84" s="11">
        <v>1</v>
      </c>
      <c r="F84" s="6" t="s">
        <v>97</v>
      </c>
      <c r="G84" s="11">
        <v>1</v>
      </c>
      <c r="I84" s="6">
        <v>12</v>
      </c>
      <c r="J84" s="6">
        <v>939</v>
      </c>
      <c r="K84" s="6">
        <v>816.52</v>
      </c>
      <c r="L84" s="6">
        <v>1</v>
      </c>
      <c r="M84" s="6" t="s">
        <v>98</v>
      </c>
      <c r="N84" s="6">
        <v>1</v>
      </c>
      <c r="P84" s="6" t="s">
        <v>186</v>
      </c>
      <c r="Q84" s="6" t="s">
        <v>187</v>
      </c>
      <c r="R84" s="6">
        <v>4059020</v>
      </c>
      <c r="S84" s="9">
        <v>0.05</v>
      </c>
      <c r="T84" s="9">
        <v>0</v>
      </c>
    </row>
    <row r="85" spans="1:20" x14ac:dyDescent="0.3">
      <c r="A85" s="6" t="s">
        <v>190</v>
      </c>
      <c r="B85" s="8" t="s">
        <v>669</v>
      </c>
      <c r="C85" s="6" t="s">
        <v>184</v>
      </c>
      <c r="D85" s="6" t="s">
        <v>189</v>
      </c>
      <c r="E85" s="11">
        <v>1</v>
      </c>
      <c r="F85" s="6" t="s">
        <v>97</v>
      </c>
      <c r="G85" s="11">
        <v>1</v>
      </c>
      <c r="I85" s="6">
        <v>12</v>
      </c>
      <c r="J85" s="6">
        <v>939</v>
      </c>
      <c r="K85" s="6">
        <v>816.52</v>
      </c>
      <c r="L85" s="6">
        <v>1</v>
      </c>
      <c r="M85" s="6" t="s">
        <v>81</v>
      </c>
      <c r="N85" s="6">
        <v>1</v>
      </c>
      <c r="P85" s="6" t="s">
        <v>186</v>
      </c>
      <c r="Q85" s="6" t="s">
        <v>187</v>
      </c>
      <c r="R85" s="6">
        <v>4059020</v>
      </c>
      <c r="S85" s="9">
        <v>0.05</v>
      </c>
      <c r="T85" s="9">
        <v>0</v>
      </c>
    </row>
    <row r="86" spans="1:20" x14ac:dyDescent="0.3">
      <c r="A86" s="6" t="s">
        <v>191</v>
      </c>
      <c r="B86" s="8" t="s">
        <v>668</v>
      </c>
      <c r="C86" s="6" t="s">
        <v>184</v>
      </c>
      <c r="D86" s="6" t="s">
        <v>185</v>
      </c>
      <c r="E86" s="11">
        <v>10</v>
      </c>
      <c r="F86" s="6" t="s">
        <v>35</v>
      </c>
      <c r="G86" s="11">
        <v>10</v>
      </c>
      <c r="H86" s="6">
        <v>20</v>
      </c>
      <c r="I86" s="6">
        <v>1200</v>
      </c>
      <c r="J86" s="6">
        <v>10</v>
      </c>
      <c r="K86" s="6">
        <v>8.15</v>
      </c>
      <c r="L86" s="6" t="s">
        <v>75</v>
      </c>
      <c r="M86" s="6" t="s">
        <v>81</v>
      </c>
      <c r="N86" s="6">
        <v>1</v>
      </c>
      <c r="P86" s="6" t="s">
        <v>186</v>
      </c>
      <c r="Q86" s="6" t="s">
        <v>187</v>
      </c>
      <c r="R86" s="6">
        <v>4059020</v>
      </c>
      <c r="S86" s="9">
        <v>0.05</v>
      </c>
      <c r="T86" s="9">
        <v>0</v>
      </c>
    </row>
    <row r="87" spans="1:20" x14ac:dyDescent="0.3">
      <c r="A87" s="6" t="s">
        <v>192</v>
      </c>
      <c r="B87" s="8" t="s">
        <v>667</v>
      </c>
      <c r="C87" s="6" t="s">
        <v>184</v>
      </c>
      <c r="D87" s="6" t="s">
        <v>185</v>
      </c>
      <c r="E87" s="11">
        <v>100</v>
      </c>
      <c r="F87" s="6" t="s">
        <v>35</v>
      </c>
      <c r="G87" s="11">
        <v>100</v>
      </c>
      <c r="H87" s="6">
        <v>5</v>
      </c>
      <c r="I87" s="6">
        <v>120</v>
      </c>
      <c r="J87" s="6">
        <v>113</v>
      </c>
      <c r="K87" s="6">
        <v>95.76</v>
      </c>
      <c r="M87" s="6" t="s">
        <v>98</v>
      </c>
      <c r="N87" s="6">
        <v>1</v>
      </c>
      <c r="P87" s="6" t="s">
        <v>186</v>
      </c>
      <c r="Q87" s="6" t="s">
        <v>187</v>
      </c>
      <c r="R87" s="6">
        <v>4059020</v>
      </c>
      <c r="S87" s="9">
        <v>0.05</v>
      </c>
      <c r="T87" s="9">
        <v>0</v>
      </c>
    </row>
    <row r="88" spans="1:20" x14ac:dyDescent="0.3">
      <c r="A88" s="6" t="s">
        <v>193</v>
      </c>
      <c r="B88" s="8" t="s">
        <v>666</v>
      </c>
      <c r="C88" s="6" t="s">
        <v>184</v>
      </c>
      <c r="D88" s="6" t="s">
        <v>185</v>
      </c>
      <c r="E88" s="11">
        <v>20</v>
      </c>
      <c r="F88" s="6" t="s">
        <v>35</v>
      </c>
      <c r="G88" s="11">
        <v>20</v>
      </c>
      <c r="H88" s="6">
        <v>10</v>
      </c>
      <c r="I88" s="6">
        <v>600</v>
      </c>
      <c r="J88" s="6">
        <v>20</v>
      </c>
      <c r="K88" s="6">
        <v>16.3</v>
      </c>
      <c r="L88" s="6" t="s">
        <v>75</v>
      </c>
      <c r="M88" s="6" t="s">
        <v>81</v>
      </c>
      <c r="N88" s="6">
        <v>1</v>
      </c>
      <c r="P88" s="6" t="s">
        <v>186</v>
      </c>
      <c r="Q88" s="6" t="s">
        <v>187</v>
      </c>
      <c r="R88" s="6">
        <v>4059020</v>
      </c>
      <c r="S88" s="9">
        <v>0.05</v>
      </c>
      <c r="T88" s="9">
        <v>0</v>
      </c>
    </row>
    <row r="89" spans="1:20" x14ac:dyDescent="0.3">
      <c r="A89" s="6" t="s">
        <v>194</v>
      </c>
      <c r="B89" s="8" t="s">
        <v>665</v>
      </c>
      <c r="C89" s="6" t="s">
        <v>184</v>
      </c>
      <c r="D89" s="6" t="s">
        <v>185</v>
      </c>
      <c r="E89" s="11">
        <v>200</v>
      </c>
      <c r="F89" s="6" t="s">
        <v>35</v>
      </c>
      <c r="G89" s="11">
        <v>200</v>
      </c>
      <c r="H89" s="6">
        <v>3</v>
      </c>
      <c r="I89" s="6">
        <v>60</v>
      </c>
      <c r="J89" s="6">
        <v>200</v>
      </c>
      <c r="K89" s="6">
        <v>173.91</v>
      </c>
      <c r="M89" s="6" t="s">
        <v>98</v>
      </c>
      <c r="N89" s="6">
        <v>1</v>
      </c>
      <c r="P89" s="6" t="s">
        <v>186</v>
      </c>
      <c r="Q89" s="6" t="s">
        <v>187</v>
      </c>
      <c r="R89" s="6">
        <v>4059020</v>
      </c>
      <c r="S89" s="9">
        <v>0.05</v>
      </c>
      <c r="T89" s="9">
        <v>0</v>
      </c>
    </row>
    <row r="90" spans="1:20" x14ac:dyDescent="0.3">
      <c r="A90" s="6" t="s">
        <v>195</v>
      </c>
      <c r="B90" s="8" t="s">
        <v>664</v>
      </c>
      <c r="C90" s="6" t="s">
        <v>184</v>
      </c>
      <c r="D90" s="6" t="s">
        <v>185</v>
      </c>
      <c r="E90" s="11">
        <v>50</v>
      </c>
      <c r="F90" s="6" t="s">
        <v>35</v>
      </c>
      <c r="G90" s="11">
        <v>50</v>
      </c>
      <c r="H90" s="6">
        <v>10</v>
      </c>
      <c r="I90" s="6">
        <v>240</v>
      </c>
      <c r="J90" s="6">
        <v>59</v>
      </c>
      <c r="K90" s="6">
        <v>50</v>
      </c>
      <c r="L90" s="6" t="s">
        <v>75</v>
      </c>
      <c r="M90" s="6" t="s">
        <v>98</v>
      </c>
      <c r="N90" s="6">
        <v>1</v>
      </c>
      <c r="P90" s="6" t="s">
        <v>186</v>
      </c>
      <c r="Q90" s="6" t="s">
        <v>187</v>
      </c>
      <c r="R90" s="6">
        <v>4059020</v>
      </c>
      <c r="S90" s="9">
        <v>0.05</v>
      </c>
      <c r="T90" s="9">
        <v>0</v>
      </c>
    </row>
    <row r="91" spans="1:20" x14ac:dyDescent="0.3">
      <c r="A91" s="6" t="s">
        <v>196</v>
      </c>
      <c r="B91" s="8" t="s">
        <v>663</v>
      </c>
      <c r="C91" s="6" t="s">
        <v>184</v>
      </c>
      <c r="D91" s="6" t="s">
        <v>185</v>
      </c>
      <c r="E91" s="11">
        <v>500</v>
      </c>
      <c r="F91" s="6" t="s">
        <v>35</v>
      </c>
      <c r="G91" s="11">
        <v>500</v>
      </c>
      <c r="I91" s="6">
        <v>24</v>
      </c>
      <c r="J91" s="6">
        <v>449</v>
      </c>
      <c r="K91" s="6">
        <v>382</v>
      </c>
      <c r="L91" s="6">
        <v>1</v>
      </c>
      <c r="M91" s="6" t="s">
        <v>98</v>
      </c>
      <c r="N91" s="6">
        <v>1</v>
      </c>
      <c r="P91" s="6" t="s">
        <v>186</v>
      </c>
      <c r="Q91" s="6" t="s">
        <v>187</v>
      </c>
      <c r="R91" s="6">
        <v>4059020</v>
      </c>
      <c r="S91" s="9">
        <v>0.05</v>
      </c>
      <c r="T91" s="9">
        <v>0</v>
      </c>
    </row>
    <row r="92" spans="1:20" x14ac:dyDescent="0.3">
      <c r="A92" s="6" t="s">
        <v>197</v>
      </c>
      <c r="B92" s="8" t="s">
        <v>663</v>
      </c>
      <c r="C92" s="6" t="s">
        <v>184</v>
      </c>
      <c r="D92" s="6" t="s">
        <v>185</v>
      </c>
      <c r="E92" s="11">
        <v>500</v>
      </c>
      <c r="F92" s="6" t="s">
        <v>35</v>
      </c>
      <c r="G92" s="11">
        <v>500</v>
      </c>
      <c r="I92" s="6">
        <v>24</v>
      </c>
      <c r="J92" s="6">
        <v>449</v>
      </c>
      <c r="K92" s="6">
        <v>382</v>
      </c>
      <c r="L92" s="6">
        <v>1</v>
      </c>
      <c r="M92" s="6" t="s">
        <v>98</v>
      </c>
      <c r="N92" s="6">
        <v>1</v>
      </c>
      <c r="P92" s="6" t="s">
        <v>186</v>
      </c>
      <c r="Q92" s="6" t="s">
        <v>187</v>
      </c>
      <c r="R92" s="6">
        <v>4059020</v>
      </c>
      <c r="S92" s="9">
        <v>0.05</v>
      </c>
      <c r="T92" s="9">
        <v>0</v>
      </c>
    </row>
    <row r="93" spans="1:20" x14ac:dyDescent="0.3">
      <c r="A93" s="6" t="s">
        <v>198</v>
      </c>
      <c r="B93" s="8" t="s">
        <v>662</v>
      </c>
      <c r="C93" s="6" t="s">
        <v>199</v>
      </c>
      <c r="D93" s="6" t="s">
        <v>189</v>
      </c>
      <c r="E93" s="11">
        <v>1</v>
      </c>
      <c r="F93" s="6" t="s">
        <v>97</v>
      </c>
      <c r="G93" s="11">
        <v>1</v>
      </c>
      <c r="I93" s="6">
        <v>12</v>
      </c>
      <c r="J93" s="6">
        <v>939</v>
      </c>
      <c r="K93" s="6">
        <v>816.52</v>
      </c>
      <c r="L93" s="6">
        <v>1</v>
      </c>
      <c r="M93" s="6" t="s">
        <v>98</v>
      </c>
      <c r="N93" s="6">
        <v>1</v>
      </c>
      <c r="P93" s="6" t="s">
        <v>186</v>
      </c>
      <c r="Q93" s="6" t="s">
        <v>187</v>
      </c>
      <c r="R93" s="6">
        <v>4059020</v>
      </c>
      <c r="S93" s="9">
        <v>0.05</v>
      </c>
      <c r="T93" s="9">
        <v>0</v>
      </c>
    </row>
    <row r="94" spans="1:20" x14ac:dyDescent="0.3">
      <c r="A94" s="6" t="s">
        <v>200</v>
      </c>
      <c r="B94" s="8" t="s">
        <v>661</v>
      </c>
      <c r="C94" s="6" t="s">
        <v>199</v>
      </c>
      <c r="D94" s="6" t="s">
        <v>185</v>
      </c>
      <c r="E94" s="11">
        <v>10</v>
      </c>
      <c r="F94" s="6" t="s">
        <v>35</v>
      </c>
      <c r="G94" s="11">
        <v>10</v>
      </c>
      <c r="H94" s="6">
        <v>20</v>
      </c>
      <c r="I94" s="6">
        <v>1200</v>
      </c>
      <c r="J94" s="6">
        <v>10</v>
      </c>
      <c r="K94" s="6">
        <v>8.15</v>
      </c>
      <c r="L94" s="6" t="s">
        <v>75</v>
      </c>
      <c r="M94" s="6" t="s">
        <v>81</v>
      </c>
      <c r="N94" s="6">
        <v>1</v>
      </c>
      <c r="P94" s="6" t="s">
        <v>186</v>
      </c>
      <c r="Q94" s="6" t="s">
        <v>187</v>
      </c>
      <c r="R94" s="6">
        <v>4059020</v>
      </c>
      <c r="S94" s="9">
        <v>0.05</v>
      </c>
      <c r="T94" s="9">
        <v>0</v>
      </c>
    </row>
    <row r="95" spans="1:20" x14ac:dyDescent="0.3">
      <c r="A95" s="6" t="s">
        <v>201</v>
      </c>
      <c r="B95" s="8" t="s">
        <v>660</v>
      </c>
      <c r="C95" s="6" t="s">
        <v>199</v>
      </c>
      <c r="D95" s="6" t="s">
        <v>185</v>
      </c>
      <c r="E95" s="11">
        <v>100</v>
      </c>
      <c r="F95" s="6" t="s">
        <v>35</v>
      </c>
      <c r="G95" s="11">
        <v>100</v>
      </c>
      <c r="H95" s="6">
        <v>5</v>
      </c>
      <c r="I95" s="6">
        <v>120</v>
      </c>
      <c r="J95" s="6">
        <v>113</v>
      </c>
      <c r="K95" s="6">
        <v>95.76</v>
      </c>
      <c r="M95" s="6" t="s">
        <v>98</v>
      </c>
      <c r="N95" s="6">
        <v>1</v>
      </c>
      <c r="P95" s="6" t="s">
        <v>186</v>
      </c>
      <c r="Q95" s="6" t="s">
        <v>187</v>
      </c>
      <c r="R95" s="6">
        <v>4059020</v>
      </c>
      <c r="S95" s="9">
        <v>0.05</v>
      </c>
      <c r="T95" s="9">
        <v>0</v>
      </c>
    </row>
    <row r="96" spans="1:20" x14ac:dyDescent="0.3">
      <c r="A96" s="6" t="s">
        <v>202</v>
      </c>
      <c r="B96" s="8" t="s">
        <v>659</v>
      </c>
      <c r="C96" s="6" t="s">
        <v>199</v>
      </c>
      <c r="D96" s="6" t="s">
        <v>185</v>
      </c>
      <c r="E96" s="11">
        <v>20</v>
      </c>
      <c r="F96" s="6" t="s">
        <v>35</v>
      </c>
      <c r="G96" s="11">
        <v>20</v>
      </c>
      <c r="H96" s="6">
        <v>10</v>
      </c>
      <c r="I96" s="6">
        <v>600</v>
      </c>
      <c r="J96" s="6">
        <v>20</v>
      </c>
      <c r="K96" s="6">
        <v>16.3</v>
      </c>
      <c r="L96" s="6" t="s">
        <v>75</v>
      </c>
      <c r="M96" s="6" t="s">
        <v>81</v>
      </c>
      <c r="N96" s="6">
        <v>1</v>
      </c>
      <c r="P96" s="6" t="s">
        <v>186</v>
      </c>
      <c r="Q96" s="6" t="s">
        <v>187</v>
      </c>
      <c r="R96" s="6">
        <v>4059020</v>
      </c>
      <c r="S96" s="9">
        <v>0.05</v>
      </c>
      <c r="T96" s="9">
        <v>0</v>
      </c>
    </row>
    <row r="97" spans="1:20" x14ac:dyDescent="0.3">
      <c r="A97" s="6" t="s">
        <v>203</v>
      </c>
      <c r="B97" s="8" t="s">
        <v>658</v>
      </c>
      <c r="C97" s="6" t="s">
        <v>199</v>
      </c>
      <c r="D97" s="6" t="s">
        <v>185</v>
      </c>
      <c r="E97" s="11">
        <v>200</v>
      </c>
      <c r="F97" s="6" t="s">
        <v>35</v>
      </c>
      <c r="G97" s="11">
        <v>200</v>
      </c>
      <c r="H97" s="6">
        <v>3</v>
      </c>
      <c r="I97" s="6">
        <v>60</v>
      </c>
      <c r="J97" s="6">
        <v>200</v>
      </c>
      <c r="K97" s="6">
        <v>173.91</v>
      </c>
      <c r="M97" s="6" t="s">
        <v>98</v>
      </c>
      <c r="N97" s="6">
        <v>1</v>
      </c>
      <c r="P97" s="6" t="s">
        <v>186</v>
      </c>
      <c r="Q97" s="6" t="s">
        <v>187</v>
      </c>
      <c r="R97" s="6">
        <v>4059020</v>
      </c>
      <c r="S97" s="9">
        <v>0.05</v>
      </c>
      <c r="T97" s="9">
        <v>0</v>
      </c>
    </row>
    <row r="98" spans="1:20" x14ac:dyDescent="0.3">
      <c r="A98" s="6" t="s">
        <v>204</v>
      </c>
      <c r="B98" s="8" t="s">
        <v>657</v>
      </c>
      <c r="C98" s="6" t="s">
        <v>199</v>
      </c>
      <c r="D98" s="6" t="s">
        <v>185</v>
      </c>
      <c r="E98" s="11">
        <v>50</v>
      </c>
      <c r="F98" s="6" t="s">
        <v>35</v>
      </c>
      <c r="G98" s="11">
        <v>50</v>
      </c>
      <c r="H98" s="6">
        <v>10</v>
      </c>
      <c r="I98" s="6">
        <v>240</v>
      </c>
      <c r="J98" s="6">
        <v>59</v>
      </c>
      <c r="K98" s="6">
        <v>50</v>
      </c>
      <c r="L98" s="6" t="s">
        <v>75</v>
      </c>
      <c r="M98" s="6" t="s">
        <v>98</v>
      </c>
      <c r="N98" s="6">
        <v>1</v>
      </c>
      <c r="P98" s="6" t="s">
        <v>186</v>
      </c>
      <c r="Q98" s="6" t="s">
        <v>187</v>
      </c>
      <c r="R98" s="6">
        <v>4059020</v>
      </c>
      <c r="S98" s="9">
        <v>0.05</v>
      </c>
      <c r="T98" s="9">
        <v>0</v>
      </c>
    </row>
    <row r="99" spans="1:20" x14ac:dyDescent="0.3">
      <c r="A99" s="6" t="s">
        <v>205</v>
      </c>
      <c r="B99" s="8" t="s">
        <v>656</v>
      </c>
      <c r="C99" s="6" t="s">
        <v>199</v>
      </c>
      <c r="D99" s="6" t="s">
        <v>185</v>
      </c>
      <c r="E99" s="11">
        <v>500</v>
      </c>
      <c r="F99" s="6" t="s">
        <v>35</v>
      </c>
      <c r="G99" s="11">
        <v>500</v>
      </c>
      <c r="I99" s="6">
        <v>24</v>
      </c>
      <c r="J99" s="6">
        <v>475</v>
      </c>
      <c r="K99" s="6">
        <v>413</v>
      </c>
      <c r="L99" s="6">
        <v>1</v>
      </c>
      <c r="M99" s="6" t="s">
        <v>98</v>
      </c>
      <c r="N99" s="6">
        <v>1</v>
      </c>
      <c r="P99" s="6" t="s">
        <v>186</v>
      </c>
      <c r="Q99" s="6" t="s">
        <v>187</v>
      </c>
      <c r="R99" s="6">
        <v>4059020</v>
      </c>
      <c r="S99" s="9">
        <v>0.05</v>
      </c>
      <c r="T99" s="9">
        <v>0</v>
      </c>
    </row>
    <row r="100" spans="1:20" x14ac:dyDescent="0.3">
      <c r="A100" s="6" t="s">
        <v>206</v>
      </c>
      <c r="B100" s="8" t="s">
        <v>655</v>
      </c>
      <c r="C100" s="12" t="s">
        <v>207</v>
      </c>
      <c r="D100" s="6" t="s">
        <v>35</v>
      </c>
      <c r="E100" s="12">
        <v>60</v>
      </c>
      <c r="F100" s="6" t="s">
        <v>35</v>
      </c>
      <c r="G100" s="12">
        <v>60</v>
      </c>
      <c r="I100" s="12">
        <v>60</v>
      </c>
      <c r="J100" s="12">
        <v>199</v>
      </c>
      <c r="K100" s="12">
        <v>120</v>
      </c>
      <c r="L100" s="12">
        <v>1</v>
      </c>
      <c r="M100" s="6" t="s">
        <v>36</v>
      </c>
      <c r="N100" s="6">
        <v>1</v>
      </c>
      <c r="P100" s="12" t="s">
        <v>208</v>
      </c>
      <c r="Q100" s="12" t="s">
        <v>209</v>
      </c>
      <c r="R100" s="12">
        <v>29142922</v>
      </c>
      <c r="S100" s="9">
        <v>0.05</v>
      </c>
      <c r="T100" s="9">
        <v>0</v>
      </c>
    </row>
    <row r="101" spans="1:20" x14ac:dyDescent="0.3">
      <c r="A101" s="6" t="s">
        <v>210</v>
      </c>
      <c r="B101" s="8" t="s">
        <v>654</v>
      </c>
      <c r="C101" s="12" t="s">
        <v>211</v>
      </c>
      <c r="D101" s="6" t="s">
        <v>35</v>
      </c>
      <c r="E101" s="12">
        <v>60</v>
      </c>
      <c r="F101" s="6" t="s">
        <v>35</v>
      </c>
      <c r="G101" s="12">
        <v>60</v>
      </c>
      <c r="I101" s="12">
        <v>60</v>
      </c>
      <c r="J101" s="12">
        <v>199</v>
      </c>
      <c r="K101" s="12">
        <v>120</v>
      </c>
      <c r="L101" s="12">
        <v>1</v>
      </c>
      <c r="M101" s="6" t="s">
        <v>81</v>
      </c>
      <c r="N101" s="6">
        <v>1</v>
      </c>
      <c r="P101" s="12" t="s">
        <v>208</v>
      </c>
      <c r="Q101" s="12" t="s">
        <v>209</v>
      </c>
      <c r="R101" s="12">
        <v>29142922</v>
      </c>
      <c r="S101" s="9">
        <v>0.05</v>
      </c>
      <c r="T101" s="9">
        <v>0</v>
      </c>
    </row>
    <row r="102" spans="1:20" x14ac:dyDescent="0.3">
      <c r="A102" s="6" t="s">
        <v>212</v>
      </c>
      <c r="B102" s="8" t="s">
        <v>653</v>
      </c>
      <c r="C102" s="12" t="s">
        <v>213</v>
      </c>
      <c r="D102" s="6" t="s">
        <v>35</v>
      </c>
      <c r="E102" s="12">
        <v>12</v>
      </c>
      <c r="F102" s="6" t="s">
        <v>35</v>
      </c>
      <c r="G102" s="12">
        <v>12</v>
      </c>
      <c r="H102" s="6">
        <v>12</v>
      </c>
      <c r="I102" s="12">
        <v>125</v>
      </c>
      <c r="J102" s="12">
        <v>10</v>
      </c>
      <c r="K102" s="12">
        <v>8</v>
      </c>
      <c r="L102" s="12" t="s">
        <v>75</v>
      </c>
      <c r="M102" s="6" t="s">
        <v>81</v>
      </c>
      <c r="N102" s="6">
        <v>1</v>
      </c>
      <c r="P102" s="12" t="s">
        <v>208</v>
      </c>
      <c r="Q102" s="12" t="s">
        <v>214</v>
      </c>
      <c r="R102" s="12">
        <v>29142922</v>
      </c>
      <c r="S102" s="9">
        <v>0.05</v>
      </c>
      <c r="T102" s="9">
        <v>0</v>
      </c>
    </row>
    <row r="103" spans="1:20" x14ac:dyDescent="0.3">
      <c r="A103" s="6" t="s">
        <v>215</v>
      </c>
      <c r="B103" s="8" t="s">
        <v>653</v>
      </c>
      <c r="C103" s="12" t="s">
        <v>213</v>
      </c>
      <c r="D103" s="6" t="s">
        <v>35</v>
      </c>
      <c r="E103" s="12">
        <v>12</v>
      </c>
      <c r="F103" s="6" t="s">
        <v>35</v>
      </c>
      <c r="G103" s="12">
        <v>12</v>
      </c>
      <c r="H103" s="6">
        <v>12</v>
      </c>
      <c r="I103" s="12">
        <v>96</v>
      </c>
      <c r="J103" s="12">
        <v>20</v>
      </c>
      <c r="K103" s="12">
        <v>14.5</v>
      </c>
      <c r="L103" s="12" t="s">
        <v>75</v>
      </c>
      <c r="M103" s="6" t="s">
        <v>81</v>
      </c>
      <c r="N103" s="6">
        <v>1</v>
      </c>
      <c r="P103" s="12" t="s">
        <v>208</v>
      </c>
      <c r="Q103" s="12" t="s">
        <v>214</v>
      </c>
      <c r="R103" s="12">
        <v>29142922</v>
      </c>
      <c r="S103" s="9">
        <v>0.05</v>
      </c>
      <c r="T103" s="9">
        <v>0</v>
      </c>
    </row>
    <row r="104" spans="1:20" x14ac:dyDescent="0.3">
      <c r="A104" s="6" t="s">
        <v>216</v>
      </c>
      <c r="B104" s="8" t="s">
        <v>652</v>
      </c>
      <c r="C104" s="12" t="s">
        <v>213</v>
      </c>
      <c r="D104" s="6" t="s">
        <v>35</v>
      </c>
      <c r="E104" s="12">
        <v>50</v>
      </c>
      <c r="F104" s="6" t="s">
        <v>35</v>
      </c>
      <c r="G104" s="12">
        <v>50</v>
      </c>
      <c r="H104" s="6">
        <v>6</v>
      </c>
      <c r="I104" s="12">
        <v>12</v>
      </c>
      <c r="J104" s="12">
        <v>50</v>
      </c>
      <c r="K104" s="12">
        <v>27</v>
      </c>
      <c r="L104" s="12" t="s">
        <v>75</v>
      </c>
      <c r="M104" s="6" t="s">
        <v>98</v>
      </c>
      <c r="N104" s="6">
        <v>1</v>
      </c>
      <c r="P104" s="12" t="s">
        <v>208</v>
      </c>
      <c r="Q104" s="12" t="s">
        <v>214</v>
      </c>
      <c r="R104" s="12">
        <v>29142922</v>
      </c>
      <c r="S104" s="9">
        <v>0.05</v>
      </c>
      <c r="T104" s="9">
        <v>0</v>
      </c>
    </row>
    <row r="105" spans="1:20" x14ac:dyDescent="0.3">
      <c r="A105" s="6" t="s">
        <v>217</v>
      </c>
      <c r="B105" s="8" t="s">
        <v>651</v>
      </c>
      <c r="C105" s="12" t="s">
        <v>213</v>
      </c>
      <c r="D105" s="6" t="s">
        <v>35</v>
      </c>
      <c r="E105" s="12">
        <v>52</v>
      </c>
      <c r="F105" s="6" t="s">
        <v>35</v>
      </c>
      <c r="G105" s="12">
        <v>52</v>
      </c>
      <c r="H105" s="12">
        <v>6</v>
      </c>
      <c r="I105" s="12">
        <v>12</v>
      </c>
      <c r="J105" s="12">
        <v>90</v>
      </c>
      <c r="K105" s="12">
        <v>48</v>
      </c>
      <c r="M105" s="6" t="s">
        <v>98</v>
      </c>
      <c r="N105" s="6">
        <v>1</v>
      </c>
      <c r="P105" s="12" t="s">
        <v>208</v>
      </c>
      <c r="Q105" s="12" t="s">
        <v>214</v>
      </c>
      <c r="R105" s="12">
        <v>29142922</v>
      </c>
      <c r="S105" s="9">
        <v>0.05</v>
      </c>
      <c r="T105" s="9">
        <v>0</v>
      </c>
    </row>
    <row r="106" spans="1:20" x14ac:dyDescent="0.3">
      <c r="A106" s="6" t="s">
        <v>218</v>
      </c>
      <c r="B106" s="8" t="s">
        <v>650</v>
      </c>
      <c r="C106" s="12" t="s">
        <v>219</v>
      </c>
      <c r="D106" s="6" t="s">
        <v>220</v>
      </c>
      <c r="E106" s="12">
        <v>50</v>
      </c>
      <c r="F106" s="6" t="s">
        <v>35</v>
      </c>
      <c r="G106" s="12">
        <v>50</v>
      </c>
      <c r="H106" s="12">
        <v>12</v>
      </c>
      <c r="I106" s="12">
        <v>144</v>
      </c>
      <c r="J106" s="12">
        <v>15</v>
      </c>
      <c r="K106" s="12">
        <v>8.5</v>
      </c>
      <c r="M106" s="6" t="s">
        <v>81</v>
      </c>
      <c r="N106" s="6">
        <v>1</v>
      </c>
      <c r="P106" s="12" t="s">
        <v>208</v>
      </c>
      <c r="Q106" s="12" t="s">
        <v>214</v>
      </c>
      <c r="R106" s="12">
        <v>59080010</v>
      </c>
      <c r="S106" s="9">
        <v>0.05</v>
      </c>
      <c r="T106" s="9">
        <v>0</v>
      </c>
    </row>
    <row r="107" spans="1:20" x14ac:dyDescent="0.3">
      <c r="A107" s="6" t="s">
        <v>221</v>
      </c>
      <c r="B107" s="8" t="s">
        <v>649</v>
      </c>
      <c r="C107" s="12" t="s">
        <v>222</v>
      </c>
      <c r="D107" s="6" t="s">
        <v>220</v>
      </c>
      <c r="E107" s="12">
        <v>60</v>
      </c>
      <c r="F107" s="6" t="s">
        <v>35</v>
      </c>
      <c r="G107" s="12">
        <v>60</v>
      </c>
      <c r="H107" s="12">
        <v>12</v>
      </c>
      <c r="I107" s="12">
        <v>144</v>
      </c>
      <c r="J107" s="12">
        <v>15</v>
      </c>
      <c r="K107" s="12">
        <v>8.5</v>
      </c>
      <c r="M107" s="6" t="s">
        <v>81</v>
      </c>
      <c r="N107" s="6">
        <v>1</v>
      </c>
      <c r="P107" s="12" t="s">
        <v>208</v>
      </c>
      <c r="Q107" s="12" t="s">
        <v>214</v>
      </c>
      <c r="R107" s="12">
        <v>33074100</v>
      </c>
      <c r="S107" s="9">
        <v>0.05</v>
      </c>
      <c r="T107" s="9">
        <v>0</v>
      </c>
    </row>
    <row r="108" spans="1:20" x14ac:dyDescent="0.3">
      <c r="A108" s="6" t="s">
        <v>223</v>
      </c>
      <c r="B108" s="8" t="s">
        <v>648</v>
      </c>
      <c r="C108" s="12" t="s">
        <v>224</v>
      </c>
      <c r="D108" s="6" t="s">
        <v>220</v>
      </c>
      <c r="E108" s="12">
        <v>14</v>
      </c>
      <c r="F108" s="6" t="s">
        <v>35</v>
      </c>
      <c r="G108" s="12">
        <v>14</v>
      </c>
      <c r="H108" s="12">
        <v>12</v>
      </c>
      <c r="I108" s="12">
        <v>288</v>
      </c>
      <c r="J108" s="12">
        <v>15</v>
      </c>
      <c r="K108" s="12">
        <v>9</v>
      </c>
      <c r="M108" s="6" t="s">
        <v>36</v>
      </c>
      <c r="N108" s="6">
        <v>1</v>
      </c>
      <c r="P108" s="12" t="s">
        <v>208</v>
      </c>
      <c r="Q108" s="12" t="s">
        <v>209</v>
      </c>
      <c r="R108" s="12">
        <v>33074100</v>
      </c>
      <c r="S108" s="9">
        <v>0.05</v>
      </c>
      <c r="T108" s="9">
        <v>0</v>
      </c>
    </row>
    <row r="109" spans="1:20" x14ac:dyDescent="0.3">
      <c r="A109" s="6" t="s">
        <v>225</v>
      </c>
      <c r="B109" s="8" t="s">
        <v>647</v>
      </c>
      <c r="C109" s="12" t="s">
        <v>226</v>
      </c>
      <c r="D109" s="6" t="s">
        <v>35</v>
      </c>
      <c r="E109" s="12">
        <v>175</v>
      </c>
      <c r="F109" s="6" t="s">
        <v>35</v>
      </c>
      <c r="G109" s="12">
        <v>175</v>
      </c>
      <c r="H109" s="12">
        <v>6</v>
      </c>
      <c r="I109" s="12">
        <v>60</v>
      </c>
      <c r="J109" s="12">
        <v>100</v>
      </c>
      <c r="K109" s="12">
        <v>76</v>
      </c>
      <c r="M109" s="6" t="s">
        <v>36</v>
      </c>
      <c r="N109" s="6">
        <v>1</v>
      </c>
      <c r="P109" s="12" t="s">
        <v>208</v>
      </c>
      <c r="Q109" s="12" t="s">
        <v>227</v>
      </c>
      <c r="R109" s="12">
        <v>33074100</v>
      </c>
      <c r="S109" s="9">
        <v>0.05</v>
      </c>
      <c r="T109" s="9">
        <v>0</v>
      </c>
    </row>
    <row r="110" spans="1:20" x14ac:dyDescent="0.3">
      <c r="A110" s="6" t="s">
        <v>228</v>
      </c>
      <c r="B110" s="8" t="s">
        <v>646</v>
      </c>
      <c r="C110" s="12" t="s">
        <v>229</v>
      </c>
      <c r="D110" s="6" t="s">
        <v>35</v>
      </c>
      <c r="E110" s="12">
        <v>100</v>
      </c>
      <c r="F110" s="6" t="s">
        <v>35</v>
      </c>
      <c r="G110" s="12">
        <v>100</v>
      </c>
      <c r="H110" s="12">
        <v>6</v>
      </c>
      <c r="I110" s="12">
        <v>96</v>
      </c>
      <c r="J110" s="12">
        <v>80</v>
      </c>
      <c r="K110" s="12">
        <v>37.5</v>
      </c>
      <c r="M110" s="6" t="s">
        <v>98</v>
      </c>
      <c r="N110" s="6">
        <v>1</v>
      </c>
      <c r="P110" s="12" t="s">
        <v>208</v>
      </c>
      <c r="Q110" s="12" t="s">
        <v>230</v>
      </c>
      <c r="R110" s="12">
        <v>33074100</v>
      </c>
      <c r="S110" s="9">
        <v>0.05</v>
      </c>
      <c r="T110" s="9">
        <v>0</v>
      </c>
    </row>
    <row r="111" spans="1:20" x14ac:dyDescent="0.3">
      <c r="A111" s="6" t="s">
        <v>231</v>
      </c>
      <c r="B111" s="8" t="s">
        <v>645</v>
      </c>
      <c r="C111" s="12" t="s">
        <v>232</v>
      </c>
      <c r="D111" s="6" t="s">
        <v>35</v>
      </c>
      <c r="E111" s="12">
        <v>100</v>
      </c>
      <c r="F111" s="6" t="s">
        <v>35</v>
      </c>
      <c r="G111" s="12">
        <v>100</v>
      </c>
      <c r="H111" s="12">
        <v>6</v>
      </c>
      <c r="I111" s="12">
        <v>96</v>
      </c>
      <c r="J111" s="12">
        <v>70</v>
      </c>
      <c r="K111" s="12">
        <v>37.5</v>
      </c>
      <c r="M111" s="6" t="s">
        <v>36</v>
      </c>
      <c r="N111" s="6">
        <v>1</v>
      </c>
      <c r="P111" s="12" t="s">
        <v>208</v>
      </c>
      <c r="Q111" s="12" t="s">
        <v>230</v>
      </c>
      <c r="R111" s="12">
        <v>33074100</v>
      </c>
      <c r="S111" s="9">
        <v>0.05</v>
      </c>
      <c r="T111" s="9">
        <v>0</v>
      </c>
    </row>
    <row r="112" spans="1:20" x14ac:dyDescent="0.3">
      <c r="A112" s="6" t="s">
        <v>233</v>
      </c>
      <c r="B112" s="8" t="s">
        <v>644</v>
      </c>
      <c r="C112" s="12" t="s">
        <v>234</v>
      </c>
      <c r="D112" s="6" t="s">
        <v>35</v>
      </c>
      <c r="E112" s="12">
        <v>100</v>
      </c>
      <c r="F112" s="6" t="s">
        <v>35</v>
      </c>
      <c r="G112" s="12">
        <v>100</v>
      </c>
      <c r="H112" s="12">
        <v>6</v>
      </c>
      <c r="I112" s="12">
        <v>96</v>
      </c>
      <c r="J112" s="12">
        <v>80</v>
      </c>
      <c r="K112" s="12">
        <v>37.5</v>
      </c>
      <c r="M112" s="6" t="s">
        <v>98</v>
      </c>
      <c r="N112" s="6">
        <v>1</v>
      </c>
      <c r="P112" s="12" t="s">
        <v>208</v>
      </c>
      <c r="Q112" s="12" t="s">
        <v>230</v>
      </c>
      <c r="R112" s="12">
        <v>33074100</v>
      </c>
      <c r="S112" s="9">
        <v>0.05</v>
      </c>
      <c r="T112" s="9">
        <v>0</v>
      </c>
    </row>
    <row r="113" spans="1:20" x14ac:dyDescent="0.3">
      <c r="A113" s="6" t="s">
        <v>235</v>
      </c>
      <c r="B113" s="8" t="s">
        <v>643</v>
      </c>
      <c r="C113" s="12" t="s">
        <v>236</v>
      </c>
      <c r="D113" s="6" t="s">
        <v>35</v>
      </c>
      <c r="E113" s="12">
        <v>100</v>
      </c>
      <c r="F113" s="6" t="s">
        <v>35</v>
      </c>
      <c r="G113" s="12">
        <v>100</v>
      </c>
      <c r="H113" s="12">
        <v>6</v>
      </c>
      <c r="I113" s="12">
        <v>96</v>
      </c>
      <c r="J113" s="12">
        <v>70</v>
      </c>
      <c r="K113" s="12">
        <v>37.5</v>
      </c>
      <c r="M113" s="6" t="s">
        <v>98</v>
      </c>
      <c r="N113" s="6">
        <v>1</v>
      </c>
      <c r="P113" s="12" t="s">
        <v>208</v>
      </c>
      <c r="Q113" s="12" t="s">
        <v>230</v>
      </c>
      <c r="R113" s="12">
        <v>33074100</v>
      </c>
      <c r="S113" s="9">
        <v>0.05</v>
      </c>
      <c r="T113" s="9">
        <v>0</v>
      </c>
    </row>
    <row r="114" spans="1:20" x14ac:dyDescent="0.3">
      <c r="A114" s="6" t="s">
        <v>237</v>
      </c>
      <c r="B114" s="8" t="s">
        <v>642</v>
      </c>
      <c r="C114" s="12" t="s">
        <v>238</v>
      </c>
      <c r="D114" s="6" t="s">
        <v>35</v>
      </c>
      <c r="E114" s="12">
        <v>100</v>
      </c>
      <c r="F114" s="6" t="s">
        <v>35</v>
      </c>
      <c r="G114" s="12">
        <v>100</v>
      </c>
      <c r="H114" s="12">
        <v>6</v>
      </c>
      <c r="I114" s="12">
        <v>96</v>
      </c>
      <c r="J114" s="12">
        <v>80</v>
      </c>
      <c r="K114" s="12">
        <v>37.5</v>
      </c>
      <c r="M114" s="6" t="s">
        <v>98</v>
      </c>
      <c r="N114" s="6">
        <v>1</v>
      </c>
      <c r="P114" s="12" t="s">
        <v>208</v>
      </c>
      <c r="Q114" s="12" t="s">
        <v>230</v>
      </c>
      <c r="R114" s="12">
        <v>33074100</v>
      </c>
      <c r="S114" s="9">
        <v>0.05</v>
      </c>
      <c r="T114" s="9">
        <v>0</v>
      </c>
    </row>
    <row r="115" spans="1:20" x14ac:dyDescent="0.3">
      <c r="A115" s="6" t="s">
        <v>239</v>
      </c>
      <c r="B115" s="8" t="s">
        <v>641</v>
      </c>
      <c r="C115" s="12" t="s">
        <v>240</v>
      </c>
      <c r="D115" s="6" t="s">
        <v>35</v>
      </c>
      <c r="E115" s="12">
        <v>100</v>
      </c>
      <c r="F115" s="6" t="s">
        <v>35</v>
      </c>
      <c r="G115" s="12">
        <v>100</v>
      </c>
      <c r="H115" s="12">
        <v>6</v>
      </c>
      <c r="I115" s="12">
        <v>96</v>
      </c>
      <c r="J115" s="12">
        <v>80</v>
      </c>
      <c r="K115" s="12">
        <v>37.5</v>
      </c>
      <c r="M115" s="6" t="s">
        <v>98</v>
      </c>
      <c r="N115" s="6">
        <v>1</v>
      </c>
      <c r="P115" s="12" t="s">
        <v>208</v>
      </c>
      <c r="Q115" s="12" t="s">
        <v>230</v>
      </c>
      <c r="R115" s="12">
        <v>33074100</v>
      </c>
      <c r="S115" s="9">
        <v>0.05</v>
      </c>
      <c r="T115" s="9">
        <v>0</v>
      </c>
    </row>
    <row r="116" spans="1:20" x14ac:dyDescent="0.3">
      <c r="A116" s="6" t="s">
        <v>241</v>
      </c>
      <c r="B116" s="8" t="s">
        <v>640</v>
      </c>
      <c r="C116" s="12" t="s">
        <v>242</v>
      </c>
      <c r="D116" s="6" t="s">
        <v>35</v>
      </c>
      <c r="E116" s="12">
        <v>220</v>
      </c>
      <c r="F116" s="6" t="s">
        <v>35</v>
      </c>
      <c r="G116" s="12">
        <v>220</v>
      </c>
      <c r="H116" s="12">
        <v>6</v>
      </c>
      <c r="I116" s="12">
        <v>48</v>
      </c>
      <c r="J116" s="12">
        <v>125</v>
      </c>
      <c r="K116" s="12">
        <v>64</v>
      </c>
      <c r="M116" s="6" t="s">
        <v>36</v>
      </c>
      <c r="N116" s="6">
        <v>1</v>
      </c>
      <c r="P116" s="12" t="s">
        <v>208</v>
      </c>
      <c r="Q116" s="12" t="s">
        <v>230</v>
      </c>
      <c r="R116" s="12">
        <v>33074100</v>
      </c>
      <c r="S116" s="9">
        <v>0.05</v>
      </c>
      <c r="T116" s="9">
        <v>0</v>
      </c>
    </row>
    <row r="117" spans="1:20" x14ac:dyDescent="0.3">
      <c r="A117" s="6" t="s">
        <v>243</v>
      </c>
      <c r="B117" s="8" t="s">
        <v>639</v>
      </c>
      <c r="C117" s="12" t="s">
        <v>242</v>
      </c>
      <c r="D117" s="6" t="s">
        <v>35</v>
      </c>
      <c r="E117" s="12">
        <v>100</v>
      </c>
      <c r="F117" s="6" t="s">
        <v>35</v>
      </c>
      <c r="G117" s="12">
        <v>100</v>
      </c>
      <c r="H117" s="12">
        <v>6</v>
      </c>
      <c r="I117" s="12">
        <v>96</v>
      </c>
      <c r="J117" s="12">
        <v>70</v>
      </c>
      <c r="K117" s="12">
        <v>37.5</v>
      </c>
      <c r="M117" s="6" t="s">
        <v>36</v>
      </c>
      <c r="N117" s="6">
        <v>1</v>
      </c>
      <c r="P117" s="12" t="s">
        <v>208</v>
      </c>
      <c r="Q117" s="12" t="s">
        <v>230</v>
      </c>
      <c r="R117" s="12">
        <v>33074100</v>
      </c>
      <c r="S117" s="9">
        <v>0.05</v>
      </c>
      <c r="T117" s="9">
        <v>0</v>
      </c>
    </row>
    <row r="118" spans="1:20" x14ac:dyDescent="0.3">
      <c r="A118" s="6" t="s">
        <v>244</v>
      </c>
      <c r="B118" s="8" t="s">
        <v>638</v>
      </c>
      <c r="C118" s="12" t="s">
        <v>245</v>
      </c>
      <c r="D118" s="6" t="s">
        <v>35</v>
      </c>
      <c r="E118" s="12">
        <v>220</v>
      </c>
      <c r="F118" s="6" t="s">
        <v>35</v>
      </c>
      <c r="G118" s="12">
        <v>220</v>
      </c>
      <c r="H118" s="12">
        <v>6</v>
      </c>
      <c r="I118" s="12">
        <v>48</v>
      </c>
      <c r="J118" s="12">
        <v>125</v>
      </c>
      <c r="K118" s="12">
        <v>64</v>
      </c>
      <c r="M118" s="6" t="s">
        <v>36</v>
      </c>
      <c r="N118" s="6">
        <v>1</v>
      </c>
      <c r="P118" s="12" t="s">
        <v>208</v>
      </c>
      <c r="Q118" s="12" t="s">
        <v>230</v>
      </c>
      <c r="R118" s="12">
        <v>33074100</v>
      </c>
      <c r="S118" s="9">
        <v>0.05</v>
      </c>
      <c r="T118" s="9">
        <v>0</v>
      </c>
    </row>
    <row r="119" spans="1:20" x14ac:dyDescent="0.3">
      <c r="A119" s="6" t="s">
        <v>246</v>
      </c>
      <c r="B119" s="8" t="s">
        <v>637</v>
      </c>
      <c r="C119" s="12" t="s">
        <v>245</v>
      </c>
      <c r="D119" s="6" t="s">
        <v>35</v>
      </c>
      <c r="E119" s="12">
        <v>100</v>
      </c>
      <c r="F119" s="6" t="s">
        <v>35</v>
      </c>
      <c r="G119" s="12">
        <v>100</v>
      </c>
      <c r="H119" s="12">
        <v>6</v>
      </c>
      <c r="I119" s="12">
        <v>96</v>
      </c>
      <c r="J119" s="12">
        <v>70</v>
      </c>
      <c r="K119" s="12">
        <v>37.5</v>
      </c>
      <c r="M119" s="6" t="s">
        <v>36</v>
      </c>
      <c r="N119" s="6">
        <v>1</v>
      </c>
      <c r="P119" s="12" t="s">
        <v>208</v>
      </c>
      <c r="Q119" s="12" t="s">
        <v>230</v>
      </c>
      <c r="R119" s="12">
        <v>33074100</v>
      </c>
      <c r="S119" s="9">
        <v>0.05</v>
      </c>
      <c r="T119" s="9">
        <v>0</v>
      </c>
    </row>
    <row r="120" spans="1:20" x14ac:dyDescent="0.3">
      <c r="A120" s="6" t="s">
        <v>247</v>
      </c>
      <c r="B120" s="8" t="s">
        <v>636</v>
      </c>
      <c r="C120" s="12" t="s">
        <v>248</v>
      </c>
      <c r="D120" s="6" t="s">
        <v>35</v>
      </c>
      <c r="E120" s="12">
        <v>100</v>
      </c>
      <c r="F120" s="6" t="s">
        <v>35</v>
      </c>
      <c r="G120" s="12">
        <v>100</v>
      </c>
      <c r="H120" s="12">
        <v>6</v>
      </c>
      <c r="I120" s="12">
        <v>96</v>
      </c>
      <c r="J120" s="12">
        <v>80</v>
      </c>
      <c r="K120" s="12">
        <v>37.5</v>
      </c>
      <c r="M120" s="6" t="s">
        <v>98</v>
      </c>
      <c r="N120" s="6">
        <v>1</v>
      </c>
      <c r="P120" s="12" t="s">
        <v>208</v>
      </c>
      <c r="Q120" s="12" t="s">
        <v>230</v>
      </c>
      <c r="R120" s="12">
        <v>33074100</v>
      </c>
      <c r="S120" s="9">
        <v>0.05</v>
      </c>
      <c r="T120" s="9">
        <v>0</v>
      </c>
    </row>
    <row r="121" spans="1:20" x14ac:dyDescent="0.3">
      <c r="A121" s="6" t="s">
        <v>249</v>
      </c>
      <c r="B121" s="8" t="s">
        <v>635</v>
      </c>
      <c r="C121" s="12" t="s">
        <v>250</v>
      </c>
      <c r="D121" s="6" t="s">
        <v>35</v>
      </c>
      <c r="E121" s="12">
        <v>100</v>
      </c>
      <c r="F121" s="6" t="s">
        <v>35</v>
      </c>
      <c r="G121" s="12">
        <v>100</v>
      </c>
      <c r="H121" s="12">
        <v>6</v>
      </c>
      <c r="I121" s="12">
        <v>96</v>
      </c>
      <c r="J121" s="12">
        <v>80</v>
      </c>
      <c r="K121" s="12">
        <v>37.5</v>
      </c>
      <c r="M121" s="6" t="s">
        <v>98</v>
      </c>
      <c r="N121" s="6">
        <v>1</v>
      </c>
      <c r="P121" s="12" t="s">
        <v>208</v>
      </c>
      <c r="Q121" s="12" t="s">
        <v>230</v>
      </c>
      <c r="R121" s="12">
        <v>33074100</v>
      </c>
      <c r="S121" s="9">
        <v>0.05</v>
      </c>
      <c r="T121" s="9">
        <v>0</v>
      </c>
    </row>
    <row r="122" spans="1:20" x14ac:dyDescent="0.3">
      <c r="A122" s="6" t="s">
        <v>251</v>
      </c>
      <c r="B122" s="8" t="s">
        <v>634</v>
      </c>
      <c r="C122" s="12" t="s">
        <v>252</v>
      </c>
      <c r="D122" s="6" t="s">
        <v>35</v>
      </c>
      <c r="E122" s="12">
        <v>220</v>
      </c>
      <c r="F122" s="6" t="s">
        <v>35</v>
      </c>
      <c r="G122" s="12">
        <v>220</v>
      </c>
      <c r="H122" s="12">
        <v>6</v>
      </c>
      <c r="I122" s="12">
        <v>48</v>
      </c>
      <c r="J122" s="12">
        <v>125</v>
      </c>
      <c r="K122" s="12">
        <v>64</v>
      </c>
      <c r="M122" s="6" t="s">
        <v>36</v>
      </c>
      <c r="N122" s="6">
        <v>1</v>
      </c>
      <c r="P122" s="12" t="s">
        <v>208</v>
      </c>
      <c r="Q122" s="12" t="s">
        <v>230</v>
      </c>
      <c r="R122" s="12">
        <v>33074100</v>
      </c>
      <c r="S122" s="9">
        <v>0.05</v>
      </c>
      <c r="T122" s="9">
        <v>0</v>
      </c>
    </row>
    <row r="123" spans="1:20" x14ac:dyDescent="0.3">
      <c r="A123" s="6" t="s">
        <v>253</v>
      </c>
      <c r="B123" s="8" t="s">
        <v>633</v>
      </c>
      <c r="C123" s="12" t="s">
        <v>254</v>
      </c>
      <c r="D123" s="6" t="s">
        <v>35</v>
      </c>
      <c r="E123" s="12">
        <v>100</v>
      </c>
      <c r="F123" s="6" t="s">
        <v>35</v>
      </c>
      <c r="G123" s="12">
        <v>100</v>
      </c>
      <c r="H123" s="12">
        <v>6</v>
      </c>
      <c r="I123" s="12">
        <v>96</v>
      </c>
      <c r="J123" s="12">
        <v>70</v>
      </c>
      <c r="K123" s="12">
        <v>37.5</v>
      </c>
      <c r="M123" s="6" t="s">
        <v>36</v>
      </c>
      <c r="N123" s="6">
        <v>1</v>
      </c>
      <c r="P123" s="12" t="s">
        <v>208</v>
      </c>
      <c r="Q123" s="12" t="s">
        <v>230</v>
      </c>
      <c r="R123" s="12">
        <v>33074100</v>
      </c>
      <c r="S123" s="9">
        <v>0.05</v>
      </c>
      <c r="T123" s="9">
        <v>0</v>
      </c>
    </row>
    <row r="124" spans="1:20" x14ac:dyDescent="0.3">
      <c r="A124" s="6" t="s">
        <v>255</v>
      </c>
      <c r="B124" s="8" t="s">
        <v>632</v>
      </c>
      <c r="C124" s="12" t="s">
        <v>256</v>
      </c>
      <c r="D124" s="6" t="s">
        <v>35</v>
      </c>
      <c r="E124" s="12">
        <v>220</v>
      </c>
      <c r="F124" s="6" t="s">
        <v>35</v>
      </c>
      <c r="G124" s="12">
        <v>220</v>
      </c>
      <c r="H124" s="12">
        <v>6</v>
      </c>
      <c r="I124" s="12">
        <v>48</v>
      </c>
      <c r="J124" s="12">
        <v>125</v>
      </c>
      <c r="K124" s="12">
        <v>64</v>
      </c>
      <c r="M124" s="6" t="s">
        <v>36</v>
      </c>
      <c r="N124" s="6">
        <v>1</v>
      </c>
      <c r="P124" s="12" t="s">
        <v>208</v>
      </c>
      <c r="Q124" s="12" t="s">
        <v>230</v>
      </c>
      <c r="R124" s="12">
        <v>33074100</v>
      </c>
      <c r="S124" s="9">
        <v>0.05</v>
      </c>
      <c r="T124" s="9">
        <v>0</v>
      </c>
    </row>
    <row r="125" spans="1:20" x14ac:dyDescent="0.3">
      <c r="A125" s="6" t="s">
        <v>257</v>
      </c>
      <c r="B125" s="8" t="s">
        <v>631</v>
      </c>
      <c r="C125" s="12" t="s">
        <v>258</v>
      </c>
      <c r="D125" s="6" t="s">
        <v>35</v>
      </c>
      <c r="E125" s="12">
        <v>100</v>
      </c>
      <c r="F125" s="6" t="s">
        <v>35</v>
      </c>
      <c r="G125" s="12">
        <v>100</v>
      </c>
      <c r="H125" s="12">
        <v>6</v>
      </c>
      <c r="I125" s="12">
        <v>96</v>
      </c>
      <c r="J125" s="12">
        <v>70</v>
      </c>
      <c r="K125" s="12">
        <v>37.5</v>
      </c>
      <c r="M125" s="6" t="s">
        <v>36</v>
      </c>
      <c r="N125" s="6">
        <v>1</v>
      </c>
      <c r="P125" s="12" t="s">
        <v>208</v>
      </c>
      <c r="Q125" s="12" t="s">
        <v>230</v>
      </c>
      <c r="R125" s="12">
        <v>33074100</v>
      </c>
      <c r="S125" s="9">
        <v>0.05</v>
      </c>
      <c r="T125" s="9">
        <v>0</v>
      </c>
    </row>
    <row r="126" spans="1:20" x14ac:dyDescent="0.3">
      <c r="A126" s="6" t="s">
        <v>259</v>
      </c>
      <c r="B126" s="8" t="s">
        <v>630</v>
      </c>
      <c r="C126" s="12" t="s">
        <v>260</v>
      </c>
      <c r="D126" s="6" t="s">
        <v>35</v>
      </c>
      <c r="E126" s="12">
        <v>220</v>
      </c>
      <c r="F126" s="6" t="s">
        <v>35</v>
      </c>
      <c r="G126" s="12">
        <v>220</v>
      </c>
      <c r="H126" s="12">
        <v>6</v>
      </c>
      <c r="I126" s="12">
        <v>48</v>
      </c>
      <c r="J126" s="12">
        <v>125</v>
      </c>
      <c r="K126" s="12">
        <v>64</v>
      </c>
      <c r="M126" s="6" t="s">
        <v>36</v>
      </c>
      <c r="N126" s="6">
        <v>1</v>
      </c>
      <c r="P126" s="12" t="s">
        <v>208</v>
      </c>
      <c r="Q126" s="12" t="s">
        <v>230</v>
      </c>
      <c r="R126" s="12">
        <v>33074100</v>
      </c>
      <c r="S126" s="9">
        <v>0.05</v>
      </c>
      <c r="T126" s="9">
        <v>0</v>
      </c>
    </row>
    <row r="127" spans="1:20" x14ac:dyDescent="0.3">
      <c r="A127" s="6" t="s">
        <v>261</v>
      </c>
      <c r="B127" s="8" t="s">
        <v>629</v>
      </c>
      <c r="C127" s="12" t="s">
        <v>262</v>
      </c>
      <c r="D127" s="6" t="s">
        <v>35</v>
      </c>
      <c r="E127" s="12">
        <v>220</v>
      </c>
      <c r="F127" s="6" t="s">
        <v>35</v>
      </c>
      <c r="G127" s="12">
        <v>220</v>
      </c>
      <c r="H127" s="12">
        <v>6</v>
      </c>
      <c r="I127" s="12">
        <v>48</v>
      </c>
      <c r="J127" s="12">
        <v>125</v>
      </c>
      <c r="K127" s="12">
        <v>64</v>
      </c>
      <c r="M127" s="6" t="s">
        <v>36</v>
      </c>
      <c r="N127" s="6">
        <v>1</v>
      </c>
      <c r="P127" s="12" t="s">
        <v>208</v>
      </c>
      <c r="Q127" s="12" t="s">
        <v>230</v>
      </c>
      <c r="R127" s="12">
        <v>33074100</v>
      </c>
      <c r="S127" s="9">
        <v>0.05</v>
      </c>
      <c r="T127" s="9">
        <v>0</v>
      </c>
    </row>
    <row r="128" spans="1:20" x14ac:dyDescent="0.3">
      <c r="A128" s="6" t="s">
        <v>263</v>
      </c>
      <c r="B128" s="8" t="s">
        <v>628</v>
      </c>
      <c r="C128" s="12" t="s">
        <v>264</v>
      </c>
      <c r="D128" s="6" t="s">
        <v>35</v>
      </c>
      <c r="E128" s="12">
        <v>100</v>
      </c>
      <c r="F128" s="6" t="s">
        <v>35</v>
      </c>
      <c r="G128" s="12">
        <v>100</v>
      </c>
      <c r="H128" s="12">
        <v>6</v>
      </c>
      <c r="I128" s="12">
        <v>96</v>
      </c>
      <c r="J128" s="12">
        <v>70</v>
      </c>
      <c r="K128" s="12">
        <v>37.5</v>
      </c>
      <c r="M128" s="6" t="s">
        <v>36</v>
      </c>
      <c r="N128" s="6">
        <v>1</v>
      </c>
      <c r="P128" s="12" t="s">
        <v>208</v>
      </c>
      <c r="Q128" s="12" t="s">
        <v>230</v>
      </c>
      <c r="R128" s="12">
        <v>33074100</v>
      </c>
      <c r="S128" s="9">
        <v>0.05</v>
      </c>
      <c r="T128" s="9">
        <v>0</v>
      </c>
    </row>
    <row r="129" spans="1:20" x14ac:dyDescent="0.3">
      <c r="A129" s="6" t="s">
        <v>265</v>
      </c>
      <c r="B129" s="8" t="s">
        <v>627</v>
      </c>
      <c r="C129" s="12" t="s">
        <v>266</v>
      </c>
      <c r="D129" s="6" t="s">
        <v>35</v>
      </c>
      <c r="E129" s="12">
        <v>100</v>
      </c>
      <c r="F129" s="6" t="s">
        <v>35</v>
      </c>
      <c r="G129" s="12">
        <v>100</v>
      </c>
      <c r="H129" s="12">
        <v>6</v>
      </c>
      <c r="I129" s="12">
        <v>96</v>
      </c>
      <c r="J129" s="12">
        <v>70</v>
      </c>
      <c r="K129" s="12">
        <v>37.5</v>
      </c>
      <c r="M129" s="6" t="s">
        <v>36</v>
      </c>
      <c r="N129" s="6">
        <v>1</v>
      </c>
      <c r="P129" s="12" t="s">
        <v>208</v>
      </c>
      <c r="Q129" s="12" t="s">
        <v>230</v>
      </c>
      <c r="R129" s="12">
        <v>33074100</v>
      </c>
      <c r="S129" s="9">
        <v>0.05</v>
      </c>
      <c r="T129" s="9">
        <v>0</v>
      </c>
    </row>
    <row r="130" spans="1:20" x14ac:dyDescent="0.3">
      <c r="A130" s="6" t="s">
        <v>267</v>
      </c>
      <c r="B130" s="8" t="s">
        <v>626</v>
      </c>
      <c r="C130" s="12" t="s">
        <v>268</v>
      </c>
      <c r="D130" s="6" t="s">
        <v>35</v>
      </c>
      <c r="E130" s="12">
        <v>100</v>
      </c>
      <c r="F130" s="6" t="s">
        <v>35</v>
      </c>
      <c r="G130" s="12">
        <v>100</v>
      </c>
      <c r="H130" s="12">
        <v>6</v>
      </c>
      <c r="I130" s="12">
        <v>120</v>
      </c>
      <c r="J130" s="12">
        <v>55</v>
      </c>
      <c r="K130" s="12">
        <v>38.5</v>
      </c>
      <c r="M130" s="6" t="s">
        <v>36</v>
      </c>
      <c r="N130" s="6">
        <v>1</v>
      </c>
      <c r="P130" s="12" t="s">
        <v>208</v>
      </c>
      <c r="Q130" s="12" t="s">
        <v>269</v>
      </c>
      <c r="R130" s="12">
        <v>33074100</v>
      </c>
      <c r="S130" s="9">
        <v>0.05</v>
      </c>
      <c r="T130" s="9">
        <v>0</v>
      </c>
    </row>
    <row r="131" spans="1:20" x14ac:dyDescent="0.3">
      <c r="A131" s="6" t="s">
        <v>270</v>
      </c>
      <c r="B131" s="8" t="s">
        <v>625</v>
      </c>
      <c r="C131" s="12" t="s">
        <v>271</v>
      </c>
      <c r="D131" s="6" t="s">
        <v>35</v>
      </c>
      <c r="E131" s="12">
        <v>100</v>
      </c>
      <c r="F131" s="6" t="s">
        <v>35</v>
      </c>
      <c r="G131" s="12">
        <v>100</v>
      </c>
      <c r="H131" s="12">
        <v>6</v>
      </c>
      <c r="I131" s="12">
        <v>120</v>
      </c>
      <c r="J131" s="12">
        <v>55</v>
      </c>
      <c r="K131" s="12">
        <v>38.5</v>
      </c>
      <c r="M131" s="6" t="s">
        <v>36</v>
      </c>
      <c r="N131" s="6">
        <v>1</v>
      </c>
      <c r="P131" s="12" t="s">
        <v>208</v>
      </c>
      <c r="Q131" s="12" t="s">
        <v>269</v>
      </c>
      <c r="R131" s="12">
        <v>33074100</v>
      </c>
      <c r="S131" s="9">
        <v>0.05</v>
      </c>
      <c r="T131" s="9">
        <v>0</v>
      </c>
    </row>
    <row r="132" spans="1:20" x14ac:dyDescent="0.3">
      <c r="A132" s="6" t="s">
        <v>272</v>
      </c>
      <c r="B132" s="8" t="s">
        <v>624</v>
      </c>
      <c r="C132" s="12" t="s">
        <v>273</v>
      </c>
      <c r="D132" s="6" t="s">
        <v>35</v>
      </c>
      <c r="E132" s="12">
        <v>100</v>
      </c>
      <c r="F132" s="6" t="s">
        <v>35</v>
      </c>
      <c r="G132" s="12">
        <v>100</v>
      </c>
      <c r="H132" s="12">
        <v>6</v>
      </c>
      <c r="I132" s="12">
        <v>120</v>
      </c>
      <c r="J132" s="12">
        <v>55</v>
      </c>
      <c r="K132" s="12">
        <v>38.5</v>
      </c>
      <c r="M132" s="6" t="s">
        <v>36</v>
      </c>
      <c r="N132" s="6">
        <v>1</v>
      </c>
      <c r="P132" s="12" t="s">
        <v>208</v>
      </c>
      <c r="Q132" s="12" t="s">
        <v>269</v>
      </c>
      <c r="R132" s="12">
        <v>33074100</v>
      </c>
      <c r="S132" s="9">
        <v>0.05</v>
      </c>
      <c r="T132" s="9">
        <v>0</v>
      </c>
    </row>
    <row r="133" spans="1:20" x14ac:dyDescent="0.3">
      <c r="A133" s="6" t="s">
        <v>274</v>
      </c>
      <c r="B133" s="8" t="s">
        <v>623</v>
      </c>
      <c r="C133" s="12" t="s">
        <v>275</v>
      </c>
      <c r="D133" s="6" t="s">
        <v>35</v>
      </c>
      <c r="E133" s="12">
        <v>100</v>
      </c>
      <c r="F133" s="6" t="s">
        <v>35</v>
      </c>
      <c r="G133" s="12">
        <v>100</v>
      </c>
      <c r="H133" s="12">
        <v>6</v>
      </c>
      <c r="I133" s="12">
        <v>120</v>
      </c>
      <c r="J133" s="12">
        <v>55</v>
      </c>
      <c r="K133" s="12">
        <v>38.5</v>
      </c>
      <c r="M133" s="6" t="s">
        <v>36</v>
      </c>
      <c r="N133" s="6">
        <v>1</v>
      </c>
      <c r="P133" s="12" t="s">
        <v>208</v>
      </c>
      <c r="Q133" s="12" t="s">
        <v>269</v>
      </c>
      <c r="R133" s="12" t="e">
        <v>#N/A</v>
      </c>
      <c r="S133" s="9">
        <v>0.05</v>
      </c>
      <c r="T133" s="9">
        <v>0</v>
      </c>
    </row>
    <row r="134" spans="1:20" x14ac:dyDescent="0.3">
      <c r="A134" s="6" t="s">
        <v>276</v>
      </c>
      <c r="B134" s="8" t="s">
        <v>622</v>
      </c>
      <c r="C134" s="12" t="s">
        <v>277</v>
      </c>
      <c r="D134" s="6" t="s">
        <v>35</v>
      </c>
      <c r="E134" s="12">
        <v>100</v>
      </c>
      <c r="F134" s="6" t="s">
        <v>35</v>
      </c>
      <c r="G134" s="12">
        <v>100</v>
      </c>
      <c r="H134" s="12">
        <v>6</v>
      </c>
      <c r="I134" s="12">
        <v>120</v>
      </c>
      <c r="J134" s="12">
        <v>55</v>
      </c>
      <c r="K134" s="12">
        <v>38.5</v>
      </c>
      <c r="M134" s="6" t="s">
        <v>36</v>
      </c>
      <c r="N134" s="6">
        <v>1</v>
      </c>
      <c r="P134" s="12" t="s">
        <v>208</v>
      </c>
      <c r="Q134" s="12" t="s">
        <v>269</v>
      </c>
      <c r="R134" s="12">
        <v>33074100</v>
      </c>
      <c r="S134" s="9">
        <v>0.05</v>
      </c>
      <c r="T134" s="9">
        <v>0</v>
      </c>
    </row>
    <row r="135" spans="1:20" x14ac:dyDescent="0.3">
      <c r="A135" s="6" t="s">
        <v>278</v>
      </c>
      <c r="B135" s="8" t="s">
        <v>621</v>
      </c>
      <c r="C135" s="12" t="s">
        <v>279</v>
      </c>
      <c r="D135" s="6" t="s">
        <v>35</v>
      </c>
      <c r="E135" s="12">
        <v>100</v>
      </c>
      <c r="F135" s="6" t="s">
        <v>35</v>
      </c>
      <c r="G135" s="12">
        <v>100</v>
      </c>
      <c r="H135" s="12">
        <v>6</v>
      </c>
      <c r="I135" s="12">
        <v>120</v>
      </c>
      <c r="J135" s="12">
        <v>55</v>
      </c>
      <c r="K135" s="12">
        <v>38.5</v>
      </c>
      <c r="M135" s="6" t="s">
        <v>36</v>
      </c>
      <c r="N135" s="6">
        <v>1</v>
      </c>
      <c r="P135" s="12" t="s">
        <v>208</v>
      </c>
      <c r="Q135" s="12" t="s">
        <v>269</v>
      </c>
      <c r="R135" s="12">
        <v>33074100</v>
      </c>
      <c r="S135" s="9">
        <v>0.05</v>
      </c>
      <c r="T135" s="9">
        <v>0</v>
      </c>
    </row>
    <row r="136" spans="1:20" x14ac:dyDescent="0.3">
      <c r="A136" s="6" t="s">
        <v>280</v>
      </c>
      <c r="B136" s="8" t="s">
        <v>620</v>
      </c>
      <c r="C136" s="12" t="s">
        <v>281</v>
      </c>
      <c r="D136" s="6" t="s">
        <v>35</v>
      </c>
      <c r="E136" s="12">
        <v>100</v>
      </c>
      <c r="F136" s="6" t="s">
        <v>35</v>
      </c>
      <c r="G136" s="12">
        <v>100</v>
      </c>
      <c r="H136" s="12">
        <v>6</v>
      </c>
      <c r="I136" s="12">
        <v>120</v>
      </c>
      <c r="J136" s="12">
        <v>55</v>
      </c>
      <c r="K136" s="12">
        <v>38.5</v>
      </c>
      <c r="M136" s="6" t="s">
        <v>36</v>
      </c>
      <c r="N136" s="6">
        <v>1</v>
      </c>
      <c r="P136" s="12" t="s">
        <v>208</v>
      </c>
      <c r="Q136" s="12" t="s">
        <v>269</v>
      </c>
      <c r="R136" s="12">
        <v>33074100</v>
      </c>
      <c r="S136" s="9">
        <v>0.05</v>
      </c>
      <c r="T136" s="9">
        <v>0</v>
      </c>
    </row>
    <row r="137" spans="1:20" x14ac:dyDescent="0.3">
      <c r="A137" s="6" t="s">
        <v>282</v>
      </c>
      <c r="B137" s="8" t="s">
        <v>619</v>
      </c>
      <c r="C137" s="12" t="s">
        <v>283</v>
      </c>
      <c r="D137" s="6" t="s">
        <v>35</v>
      </c>
      <c r="E137" s="12">
        <v>100</v>
      </c>
      <c r="F137" s="6" t="s">
        <v>35</v>
      </c>
      <c r="G137" s="12">
        <v>100</v>
      </c>
      <c r="H137" s="12">
        <v>6</v>
      </c>
      <c r="I137" s="12">
        <v>120</v>
      </c>
      <c r="J137" s="12">
        <v>55</v>
      </c>
      <c r="K137" s="12">
        <v>38.5</v>
      </c>
      <c r="M137" s="6" t="s">
        <v>36</v>
      </c>
      <c r="N137" s="6">
        <v>1</v>
      </c>
      <c r="P137" s="12" t="s">
        <v>208</v>
      </c>
      <c r="Q137" s="12" t="s">
        <v>269</v>
      </c>
      <c r="R137" s="12">
        <v>33074100</v>
      </c>
      <c r="S137" s="9">
        <v>0.05</v>
      </c>
      <c r="T137" s="9">
        <v>0</v>
      </c>
    </row>
    <row r="138" spans="1:20" x14ac:dyDescent="0.3">
      <c r="A138" s="6" t="s">
        <v>284</v>
      </c>
      <c r="B138" s="8" t="s">
        <v>618</v>
      </c>
      <c r="C138" s="12" t="s">
        <v>285</v>
      </c>
      <c r="D138" s="6" t="s">
        <v>220</v>
      </c>
      <c r="E138" s="12">
        <v>35</v>
      </c>
      <c r="F138" s="6" t="s">
        <v>35</v>
      </c>
      <c r="G138" s="12">
        <v>35</v>
      </c>
      <c r="I138" s="12">
        <v>36</v>
      </c>
      <c r="J138" s="12">
        <v>200</v>
      </c>
      <c r="K138" s="12">
        <v>110</v>
      </c>
      <c r="L138" s="12">
        <v>1</v>
      </c>
      <c r="M138" s="6" t="s">
        <v>98</v>
      </c>
      <c r="N138" s="6">
        <v>1</v>
      </c>
      <c r="P138" s="12" t="s">
        <v>208</v>
      </c>
      <c r="Q138" s="12" t="s">
        <v>286</v>
      </c>
      <c r="R138" s="12">
        <v>33074100</v>
      </c>
      <c r="S138" s="9">
        <v>0.05</v>
      </c>
      <c r="T138" s="9">
        <v>0</v>
      </c>
    </row>
    <row r="139" spans="1:20" x14ac:dyDescent="0.3">
      <c r="A139" s="6" t="s">
        <v>287</v>
      </c>
      <c r="B139" s="8" t="s">
        <v>617</v>
      </c>
      <c r="C139" s="12" t="s">
        <v>288</v>
      </c>
      <c r="D139" s="6" t="s">
        <v>220</v>
      </c>
      <c r="E139" s="12">
        <v>72</v>
      </c>
      <c r="F139" s="6" t="s">
        <v>35</v>
      </c>
      <c r="G139" s="12">
        <v>72</v>
      </c>
      <c r="I139" s="12">
        <v>6</v>
      </c>
      <c r="J139" s="12">
        <v>378</v>
      </c>
      <c r="K139" s="12">
        <v>320</v>
      </c>
      <c r="L139" s="12">
        <v>1</v>
      </c>
      <c r="M139" s="6" t="s">
        <v>36</v>
      </c>
      <c r="N139" s="6">
        <v>1</v>
      </c>
      <c r="P139" s="12" t="s">
        <v>208</v>
      </c>
      <c r="Q139" s="12" t="s">
        <v>289</v>
      </c>
      <c r="R139" s="12">
        <v>33074100</v>
      </c>
      <c r="S139" s="9">
        <v>0.05</v>
      </c>
      <c r="T139" s="9">
        <v>0</v>
      </c>
    </row>
    <row r="140" spans="1:20" x14ac:dyDescent="0.3">
      <c r="A140" s="6" t="s">
        <v>290</v>
      </c>
      <c r="B140" s="8" t="s">
        <v>616</v>
      </c>
      <c r="C140" s="12" t="s">
        <v>291</v>
      </c>
      <c r="D140" s="6" t="s">
        <v>220</v>
      </c>
      <c r="E140" s="12">
        <v>3</v>
      </c>
      <c r="F140" s="6" t="s">
        <v>35</v>
      </c>
      <c r="G140" s="12">
        <v>3</v>
      </c>
      <c r="H140" s="12">
        <v>3</v>
      </c>
      <c r="I140" s="12">
        <v>60</v>
      </c>
      <c r="J140" s="12">
        <v>110</v>
      </c>
      <c r="K140" s="12">
        <v>85</v>
      </c>
      <c r="M140" s="6" t="s">
        <v>36</v>
      </c>
      <c r="N140" s="6">
        <v>1</v>
      </c>
      <c r="P140" s="12" t="s">
        <v>208</v>
      </c>
      <c r="Q140" s="12" t="s">
        <v>289</v>
      </c>
      <c r="R140" s="12">
        <v>33074100</v>
      </c>
      <c r="S140" s="9">
        <v>0.05</v>
      </c>
      <c r="T140" s="9">
        <v>0</v>
      </c>
    </row>
    <row r="141" spans="1:20" x14ac:dyDescent="0.3">
      <c r="A141" s="6" t="s">
        <v>292</v>
      </c>
      <c r="B141" s="8" t="s">
        <v>615</v>
      </c>
      <c r="C141" s="12" t="s">
        <v>288</v>
      </c>
      <c r="D141" s="6" t="s">
        <v>220</v>
      </c>
      <c r="E141" s="12">
        <v>8</v>
      </c>
      <c r="F141" s="6" t="s">
        <v>35</v>
      </c>
      <c r="G141" s="12">
        <v>8</v>
      </c>
      <c r="H141" s="12">
        <v>6</v>
      </c>
      <c r="I141" s="12">
        <v>150</v>
      </c>
      <c r="J141" s="12">
        <v>32</v>
      </c>
      <c r="K141" s="12">
        <v>25</v>
      </c>
      <c r="M141" s="6" t="s">
        <v>36</v>
      </c>
      <c r="N141" s="6">
        <v>1</v>
      </c>
      <c r="P141" s="12" t="s">
        <v>208</v>
      </c>
      <c r="Q141" s="12" t="s">
        <v>289</v>
      </c>
      <c r="R141" s="12">
        <v>33074100</v>
      </c>
      <c r="S141" s="9">
        <v>0.05</v>
      </c>
      <c r="T141" s="9">
        <v>0</v>
      </c>
    </row>
    <row r="142" spans="1:20" x14ac:dyDescent="0.3">
      <c r="A142" s="6" t="s">
        <v>293</v>
      </c>
      <c r="B142" s="8" t="s">
        <v>614</v>
      </c>
      <c r="C142" s="12" t="s">
        <v>288</v>
      </c>
      <c r="D142" s="6" t="s">
        <v>220</v>
      </c>
      <c r="E142" s="12">
        <v>12</v>
      </c>
      <c r="F142" s="6" t="s">
        <v>35</v>
      </c>
      <c r="G142" s="12">
        <v>12</v>
      </c>
      <c r="H142" s="12">
        <v>6</v>
      </c>
      <c r="I142" s="12">
        <v>81</v>
      </c>
      <c r="J142" s="12">
        <v>72</v>
      </c>
      <c r="K142" s="12">
        <v>52</v>
      </c>
      <c r="M142" s="6" t="s">
        <v>36</v>
      </c>
      <c r="N142" s="6">
        <v>1</v>
      </c>
      <c r="P142" s="12" t="s">
        <v>208</v>
      </c>
      <c r="Q142" s="12" t="s">
        <v>289</v>
      </c>
      <c r="R142" s="12">
        <v>33074100</v>
      </c>
      <c r="S142" s="9">
        <v>0.05</v>
      </c>
      <c r="T142" s="9">
        <v>0</v>
      </c>
    </row>
    <row r="143" spans="1:20" x14ac:dyDescent="0.3">
      <c r="A143" s="6" t="s">
        <v>294</v>
      </c>
      <c r="B143" s="8" t="s">
        <v>614</v>
      </c>
      <c r="C143" s="12" t="s">
        <v>288</v>
      </c>
      <c r="D143" s="6" t="s">
        <v>220</v>
      </c>
      <c r="E143" s="12">
        <v>12</v>
      </c>
      <c r="F143" s="6" t="s">
        <v>35</v>
      </c>
      <c r="G143" s="12">
        <v>12</v>
      </c>
      <c r="H143" s="12">
        <v>6</v>
      </c>
      <c r="I143" s="12">
        <v>81</v>
      </c>
      <c r="J143" s="12">
        <v>72</v>
      </c>
      <c r="K143" s="12">
        <v>52</v>
      </c>
      <c r="M143" s="6" t="s">
        <v>36</v>
      </c>
      <c r="N143" s="6">
        <v>1</v>
      </c>
      <c r="P143" s="12" t="s">
        <v>208</v>
      </c>
      <c r="Q143" s="12" t="s">
        <v>289</v>
      </c>
      <c r="R143" s="12">
        <v>33074100</v>
      </c>
      <c r="S143" s="9">
        <v>0.05</v>
      </c>
      <c r="T143" s="9">
        <v>0</v>
      </c>
    </row>
    <row r="144" spans="1:20" x14ac:dyDescent="0.3">
      <c r="A144" s="6" t="s">
        <v>295</v>
      </c>
      <c r="B144" s="8" t="s">
        <v>613</v>
      </c>
      <c r="C144" s="12" t="s">
        <v>296</v>
      </c>
      <c r="D144" s="6" t="s">
        <v>35</v>
      </c>
      <c r="E144" s="12">
        <v>200</v>
      </c>
      <c r="F144" s="6" t="s">
        <v>35</v>
      </c>
      <c r="G144" s="12">
        <v>200</v>
      </c>
      <c r="H144" s="12">
        <v>6</v>
      </c>
      <c r="I144" s="12">
        <v>112</v>
      </c>
      <c r="J144" s="12">
        <v>54</v>
      </c>
      <c r="K144" s="12">
        <v>28</v>
      </c>
      <c r="M144" s="6" t="s">
        <v>81</v>
      </c>
      <c r="N144" s="6">
        <v>1</v>
      </c>
      <c r="P144" s="12" t="s">
        <v>208</v>
      </c>
      <c r="Q144" s="12" t="s">
        <v>214</v>
      </c>
      <c r="R144" s="12">
        <v>34059090</v>
      </c>
      <c r="S144" s="9">
        <v>0.05</v>
      </c>
      <c r="T144" s="9">
        <v>0</v>
      </c>
    </row>
    <row r="145" spans="1:20" x14ac:dyDescent="0.3">
      <c r="A145" s="6" t="s">
        <v>297</v>
      </c>
      <c r="B145" s="8" t="s">
        <v>612</v>
      </c>
      <c r="C145" s="12" t="s">
        <v>298</v>
      </c>
      <c r="D145" s="6" t="s">
        <v>35</v>
      </c>
      <c r="E145" s="12">
        <v>50</v>
      </c>
      <c r="F145" s="6" t="s">
        <v>35</v>
      </c>
      <c r="G145" s="12">
        <v>50</v>
      </c>
      <c r="H145" s="12">
        <v>14</v>
      </c>
      <c r="I145" s="12">
        <v>112</v>
      </c>
      <c r="J145" s="12">
        <v>24</v>
      </c>
      <c r="K145" s="12">
        <v>12</v>
      </c>
      <c r="M145" s="6" t="s">
        <v>81</v>
      </c>
      <c r="N145" s="6">
        <v>1</v>
      </c>
      <c r="P145" s="12" t="s">
        <v>208</v>
      </c>
      <c r="Q145" s="12" t="s">
        <v>214</v>
      </c>
      <c r="R145" s="12">
        <v>34059090</v>
      </c>
      <c r="S145" s="9">
        <v>0.05</v>
      </c>
      <c r="T145" s="9">
        <v>0</v>
      </c>
    </row>
    <row r="146" spans="1:20" x14ac:dyDescent="0.3">
      <c r="A146" s="6" t="s">
        <v>299</v>
      </c>
      <c r="B146" s="8" t="s">
        <v>611</v>
      </c>
      <c r="C146" s="12" t="s">
        <v>300</v>
      </c>
      <c r="D146" s="12" t="s">
        <v>185</v>
      </c>
      <c r="E146" s="12">
        <v>900</v>
      </c>
      <c r="F146" s="6" t="s">
        <v>35</v>
      </c>
      <c r="G146" s="12">
        <v>900</v>
      </c>
      <c r="H146" s="12">
        <v>6</v>
      </c>
      <c r="I146" s="12">
        <v>12</v>
      </c>
      <c r="J146" s="12">
        <v>260</v>
      </c>
      <c r="K146" s="12">
        <v>206</v>
      </c>
      <c r="M146" s="6" t="s">
        <v>301</v>
      </c>
      <c r="N146" s="6">
        <v>1</v>
      </c>
      <c r="P146" s="12" t="s">
        <v>208</v>
      </c>
      <c r="Q146" s="12" t="s">
        <v>214</v>
      </c>
      <c r="R146" s="12" t="e">
        <v>#N/A</v>
      </c>
      <c r="S146" s="9">
        <v>0.05</v>
      </c>
      <c r="T146" s="9">
        <v>0</v>
      </c>
    </row>
    <row r="147" spans="1:20" x14ac:dyDescent="0.3">
      <c r="A147" s="6" t="s">
        <v>302</v>
      </c>
      <c r="B147" s="8" t="s">
        <v>610</v>
      </c>
      <c r="C147" s="12" t="s">
        <v>303</v>
      </c>
      <c r="D147" s="6" t="s">
        <v>189</v>
      </c>
      <c r="E147" s="12">
        <v>1</v>
      </c>
      <c r="F147" s="6" t="s">
        <v>97</v>
      </c>
      <c r="G147" s="12">
        <v>1</v>
      </c>
      <c r="H147" s="12">
        <v>6</v>
      </c>
      <c r="I147" s="12">
        <v>12</v>
      </c>
      <c r="J147" s="12">
        <v>260</v>
      </c>
      <c r="K147" s="12">
        <v>204</v>
      </c>
      <c r="M147" s="6" t="s">
        <v>301</v>
      </c>
      <c r="N147" s="6">
        <v>1</v>
      </c>
      <c r="P147" s="12" t="s">
        <v>208</v>
      </c>
      <c r="Q147" s="12" t="s">
        <v>214</v>
      </c>
      <c r="R147" s="12">
        <v>15180040</v>
      </c>
      <c r="S147" s="9">
        <v>0.05</v>
      </c>
      <c r="T147" s="9">
        <v>0</v>
      </c>
    </row>
    <row r="148" spans="1:20" x14ac:dyDescent="0.3">
      <c r="A148" s="6" t="s">
        <v>304</v>
      </c>
      <c r="B148" s="8" t="s">
        <v>609</v>
      </c>
      <c r="C148" s="12" t="s">
        <v>305</v>
      </c>
      <c r="D148" s="6" t="s">
        <v>189</v>
      </c>
      <c r="E148" s="12">
        <v>1</v>
      </c>
      <c r="F148" s="6" t="s">
        <v>97</v>
      </c>
      <c r="G148" s="12">
        <v>1</v>
      </c>
      <c r="H148" s="12">
        <v>6</v>
      </c>
      <c r="I148" s="12">
        <v>12</v>
      </c>
      <c r="J148" s="12">
        <v>260</v>
      </c>
      <c r="K148" s="12">
        <v>204</v>
      </c>
      <c r="M148" s="6" t="s">
        <v>301</v>
      </c>
      <c r="N148" s="6">
        <v>1</v>
      </c>
      <c r="P148" s="12" t="s">
        <v>208</v>
      </c>
      <c r="Q148" s="12" t="s">
        <v>214</v>
      </c>
      <c r="R148" s="12">
        <v>15180040</v>
      </c>
      <c r="S148" s="9">
        <v>0.05</v>
      </c>
      <c r="T148" s="9">
        <v>0</v>
      </c>
    </row>
    <row r="149" spans="1:20" x14ac:dyDescent="0.3">
      <c r="A149" s="6" t="s">
        <v>306</v>
      </c>
      <c r="B149" s="8" t="s">
        <v>608</v>
      </c>
      <c r="C149" s="12" t="s">
        <v>307</v>
      </c>
      <c r="D149" s="12" t="s">
        <v>185</v>
      </c>
      <c r="E149" s="12">
        <v>500</v>
      </c>
      <c r="F149" s="6" t="s">
        <v>35</v>
      </c>
      <c r="G149" s="12">
        <v>500</v>
      </c>
      <c r="H149" s="12">
        <v>6</v>
      </c>
      <c r="I149" s="12">
        <v>24</v>
      </c>
      <c r="J149" s="12">
        <v>130</v>
      </c>
      <c r="K149" s="12">
        <v>103</v>
      </c>
      <c r="M149" s="6" t="s">
        <v>301</v>
      </c>
      <c r="N149" s="6">
        <v>1</v>
      </c>
      <c r="P149" s="12" t="s">
        <v>208</v>
      </c>
      <c r="Q149" s="12" t="s">
        <v>214</v>
      </c>
      <c r="R149" s="12">
        <v>15180040</v>
      </c>
      <c r="S149" s="9">
        <v>0.05</v>
      </c>
      <c r="T149" s="9">
        <v>0</v>
      </c>
    </row>
    <row r="150" spans="1:20" x14ac:dyDescent="0.3">
      <c r="A150" s="6" t="s">
        <v>308</v>
      </c>
      <c r="B150" s="8" t="s">
        <v>607</v>
      </c>
      <c r="C150" s="12" t="s">
        <v>309</v>
      </c>
      <c r="D150" s="12" t="s">
        <v>185</v>
      </c>
      <c r="E150" s="12">
        <v>500</v>
      </c>
      <c r="F150" s="6" t="s">
        <v>35</v>
      </c>
      <c r="G150" s="12">
        <v>500</v>
      </c>
      <c r="H150" s="12">
        <v>6</v>
      </c>
      <c r="I150" s="12">
        <v>24</v>
      </c>
      <c r="J150" s="12">
        <v>130</v>
      </c>
      <c r="K150" s="12">
        <v>103</v>
      </c>
      <c r="M150" s="6" t="s">
        <v>301</v>
      </c>
      <c r="N150" s="6">
        <v>1</v>
      </c>
      <c r="P150" s="12" t="s">
        <v>208</v>
      </c>
      <c r="Q150" s="12" t="s">
        <v>214</v>
      </c>
      <c r="R150" s="12">
        <v>15180040</v>
      </c>
      <c r="S150" s="9">
        <v>0.05</v>
      </c>
      <c r="T150" s="9">
        <v>0</v>
      </c>
    </row>
    <row r="151" spans="1:20" x14ac:dyDescent="0.3">
      <c r="A151" s="6" t="s">
        <v>310</v>
      </c>
      <c r="B151" s="8" t="s">
        <v>606</v>
      </c>
      <c r="C151" s="12" t="s">
        <v>311</v>
      </c>
      <c r="D151" s="12" t="s">
        <v>185</v>
      </c>
      <c r="E151" s="12">
        <v>500</v>
      </c>
      <c r="F151" s="6" t="s">
        <v>35</v>
      </c>
      <c r="G151" s="12">
        <v>500</v>
      </c>
      <c r="H151" s="12">
        <v>6</v>
      </c>
      <c r="I151" s="12">
        <v>24</v>
      </c>
      <c r="J151" s="12">
        <v>130</v>
      </c>
      <c r="K151" s="12">
        <v>103</v>
      </c>
      <c r="M151" s="6" t="s">
        <v>301</v>
      </c>
      <c r="N151" s="6">
        <v>1</v>
      </c>
      <c r="P151" s="12" t="s">
        <v>208</v>
      </c>
      <c r="Q151" s="12" t="s">
        <v>214</v>
      </c>
      <c r="R151" s="12">
        <v>15180040</v>
      </c>
      <c r="S151" s="9">
        <v>0.05</v>
      </c>
      <c r="T151" s="9">
        <v>0</v>
      </c>
    </row>
    <row r="152" spans="1:20" x14ac:dyDescent="0.3">
      <c r="A152" s="6" t="s">
        <v>312</v>
      </c>
      <c r="B152" s="8" t="s">
        <v>605</v>
      </c>
      <c r="C152" s="12" t="s">
        <v>313</v>
      </c>
      <c r="D152" s="6" t="s">
        <v>35</v>
      </c>
      <c r="E152" s="12">
        <v>75</v>
      </c>
      <c r="F152" s="6" t="s">
        <v>35</v>
      </c>
      <c r="G152" s="12">
        <v>75</v>
      </c>
      <c r="H152" s="12">
        <v>6</v>
      </c>
      <c r="I152" s="12">
        <v>96</v>
      </c>
      <c r="J152" s="12">
        <v>50</v>
      </c>
      <c r="K152" s="12">
        <v>34</v>
      </c>
      <c r="M152" s="6" t="s">
        <v>314</v>
      </c>
      <c r="N152" s="6">
        <v>1</v>
      </c>
      <c r="P152" s="12" t="s">
        <v>208</v>
      </c>
      <c r="Q152" s="12" t="s">
        <v>214</v>
      </c>
      <c r="R152" s="12">
        <v>33074100</v>
      </c>
      <c r="S152" s="9">
        <v>0.05</v>
      </c>
      <c r="T152" s="9">
        <v>0</v>
      </c>
    </row>
    <row r="153" spans="1:20" x14ac:dyDescent="0.3">
      <c r="A153" s="6" t="s">
        <v>315</v>
      </c>
      <c r="B153" s="8" t="s">
        <v>604</v>
      </c>
      <c r="C153" s="12" t="s">
        <v>316</v>
      </c>
      <c r="D153" s="6" t="s">
        <v>35</v>
      </c>
      <c r="E153" s="12">
        <v>45</v>
      </c>
      <c r="F153" s="6" t="s">
        <v>35</v>
      </c>
      <c r="G153" s="12">
        <v>45</v>
      </c>
      <c r="H153" s="12">
        <v>6</v>
      </c>
      <c r="I153" s="12">
        <v>120</v>
      </c>
      <c r="J153" s="12">
        <v>55</v>
      </c>
      <c r="K153" s="12">
        <v>38.5</v>
      </c>
      <c r="M153" s="6" t="s">
        <v>36</v>
      </c>
      <c r="N153" s="6">
        <v>1</v>
      </c>
      <c r="P153" s="12" t="s">
        <v>208</v>
      </c>
      <c r="Q153" s="12" t="s">
        <v>317</v>
      </c>
      <c r="R153" s="12">
        <v>33074100</v>
      </c>
      <c r="S153" s="9">
        <v>0.05</v>
      </c>
      <c r="T153" s="9">
        <v>0</v>
      </c>
    </row>
    <row r="154" spans="1:20" x14ac:dyDescent="0.3">
      <c r="A154" s="6" t="s">
        <v>318</v>
      </c>
      <c r="B154" s="8" t="s">
        <v>603</v>
      </c>
      <c r="C154" s="12" t="s">
        <v>319</v>
      </c>
      <c r="D154" s="6" t="s">
        <v>35</v>
      </c>
      <c r="E154" s="12">
        <v>97</v>
      </c>
      <c r="F154" s="6" t="s">
        <v>35</v>
      </c>
      <c r="G154" s="12">
        <v>97</v>
      </c>
      <c r="H154" s="12">
        <v>6</v>
      </c>
      <c r="I154" s="12">
        <v>120</v>
      </c>
      <c r="J154" s="12">
        <v>55</v>
      </c>
      <c r="K154" s="12">
        <v>38.5</v>
      </c>
      <c r="M154" s="6" t="s">
        <v>36</v>
      </c>
      <c r="N154" s="6">
        <v>1</v>
      </c>
      <c r="P154" s="12" t="s">
        <v>208</v>
      </c>
      <c r="Q154" s="12" t="s">
        <v>317</v>
      </c>
      <c r="R154" s="12">
        <v>33074100</v>
      </c>
      <c r="S154" s="9">
        <v>0.05</v>
      </c>
      <c r="T154" s="9">
        <v>0</v>
      </c>
    </row>
    <row r="155" spans="1:20" x14ac:dyDescent="0.3">
      <c r="A155" s="6" t="s">
        <v>320</v>
      </c>
      <c r="B155" s="8" t="s">
        <v>602</v>
      </c>
      <c r="C155" s="12" t="s">
        <v>321</v>
      </c>
      <c r="D155" s="6" t="s">
        <v>35</v>
      </c>
      <c r="E155" s="12">
        <v>97</v>
      </c>
      <c r="F155" s="6" t="s">
        <v>35</v>
      </c>
      <c r="G155" s="12">
        <v>97</v>
      </c>
      <c r="H155" s="12">
        <v>6</v>
      </c>
      <c r="I155" s="12">
        <v>120</v>
      </c>
      <c r="J155" s="12">
        <v>55</v>
      </c>
      <c r="K155" s="12">
        <v>38.5</v>
      </c>
      <c r="M155" s="6" t="s">
        <v>36</v>
      </c>
      <c r="N155" s="6">
        <v>1</v>
      </c>
      <c r="P155" s="12" t="s">
        <v>208</v>
      </c>
      <c r="Q155" s="12" t="s">
        <v>317</v>
      </c>
      <c r="R155" s="12">
        <v>33074100</v>
      </c>
      <c r="S155" s="9">
        <v>0.05</v>
      </c>
      <c r="T155" s="9">
        <v>0</v>
      </c>
    </row>
    <row r="156" spans="1:20" x14ac:dyDescent="0.3">
      <c r="A156" s="6" t="s">
        <v>322</v>
      </c>
      <c r="B156" s="8" t="s">
        <v>601</v>
      </c>
      <c r="C156" s="12" t="s">
        <v>323</v>
      </c>
      <c r="D156" s="6" t="s">
        <v>35</v>
      </c>
      <c r="E156" s="12">
        <v>54</v>
      </c>
      <c r="F156" s="6" t="s">
        <v>35</v>
      </c>
      <c r="G156" s="12">
        <v>54</v>
      </c>
      <c r="H156" s="12">
        <v>12</v>
      </c>
      <c r="I156" s="12">
        <v>288</v>
      </c>
      <c r="J156" s="12">
        <v>25</v>
      </c>
      <c r="K156" s="12">
        <v>15.5</v>
      </c>
      <c r="M156" s="6" t="s">
        <v>36</v>
      </c>
      <c r="N156" s="6">
        <v>1</v>
      </c>
      <c r="P156" s="12" t="s">
        <v>208</v>
      </c>
      <c r="Q156" s="12" t="s">
        <v>317</v>
      </c>
      <c r="R156" s="12">
        <v>33074100</v>
      </c>
      <c r="S156" s="9">
        <v>0.05</v>
      </c>
      <c r="T156" s="9">
        <v>0</v>
      </c>
    </row>
    <row r="157" spans="1:20" x14ac:dyDescent="0.3">
      <c r="A157" s="6" t="s">
        <v>324</v>
      </c>
      <c r="B157" s="8" t="s">
        <v>600</v>
      </c>
      <c r="C157" s="12" t="s">
        <v>319</v>
      </c>
      <c r="D157" s="6" t="s">
        <v>35</v>
      </c>
      <c r="E157" s="12">
        <v>54</v>
      </c>
      <c r="F157" s="6" t="s">
        <v>35</v>
      </c>
      <c r="G157" s="12">
        <v>54</v>
      </c>
      <c r="H157" s="12">
        <v>12</v>
      </c>
      <c r="I157" s="12">
        <v>288</v>
      </c>
      <c r="J157" s="12">
        <v>25</v>
      </c>
      <c r="K157" s="12">
        <v>15.5</v>
      </c>
      <c r="M157" s="6" t="s">
        <v>36</v>
      </c>
      <c r="N157" s="6">
        <v>1</v>
      </c>
      <c r="P157" s="12" t="s">
        <v>208</v>
      </c>
      <c r="Q157" s="12" t="s">
        <v>317</v>
      </c>
      <c r="R157" s="12">
        <v>33074100</v>
      </c>
      <c r="S157" s="9">
        <v>0.05</v>
      </c>
      <c r="T157" s="9">
        <v>0</v>
      </c>
    </row>
    <row r="158" spans="1:20" x14ac:dyDescent="0.3">
      <c r="A158" s="6" t="s">
        <v>325</v>
      </c>
      <c r="B158" s="8" t="s">
        <v>599</v>
      </c>
      <c r="C158" s="12" t="s">
        <v>326</v>
      </c>
      <c r="D158" s="6" t="s">
        <v>220</v>
      </c>
      <c r="E158" s="12">
        <v>8</v>
      </c>
      <c r="F158" s="6" t="s">
        <v>35</v>
      </c>
      <c r="G158" s="12">
        <v>8</v>
      </c>
      <c r="H158" s="12">
        <v>12</v>
      </c>
      <c r="I158" s="12">
        <v>144</v>
      </c>
      <c r="J158" s="12">
        <v>10</v>
      </c>
      <c r="K158" s="12">
        <v>7.7</v>
      </c>
      <c r="M158" s="6" t="s">
        <v>98</v>
      </c>
      <c r="N158" s="6">
        <v>1</v>
      </c>
      <c r="P158" s="12" t="s">
        <v>208</v>
      </c>
      <c r="Q158" s="12" t="s">
        <v>209</v>
      </c>
      <c r="R158" s="12">
        <v>33074100</v>
      </c>
      <c r="S158" s="9">
        <v>0.05</v>
      </c>
      <c r="T158" s="9">
        <v>0</v>
      </c>
    </row>
    <row r="159" spans="1:20" x14ac:dyDescent="0.3">
      <c r="A159" s="6" t="s">
        <v>327</v>
      </c>
      <c r="B159" s="8" t="s">
        <v>598</v>
      </c>
      <c r="C159" s="12" t="s">
        <v>328</v>
      </c>
      <c r="D159" s="6" t="s">
        <v>35</v>
      </c>
      <c r="E159" s="12">
        <v>12</v>
      </c>
      <c r="F159" s="6" t="s">
        <v>35</v>
      </c>
      <c r="G159" s="12">
        <v>12</v>
      </c>
      <c r="H159" s="12">
        <v>12</v>
      </c>
      <c r="I159" s="12">
        <v>144</v>
      </c>
      <c r="J159" s="12">
        <v>10</v>
      </c>
      <c r="K159" s="12">
        <v>7.7</v>
      </c>
      <c r="M159" s="6" t="s">
        <v>36</v>
      </c>
      <c r="N159" s="6">
        <v>1</v>
      </c>
      <c r="P159" s="12" t="s">
        <v>208</v>
      </c>
      <c r="Q159" s="12" t="s">
        <v>209</v>
      </c>
      <c r="R159" s="12">
        <v>33074100</v>
      </c>
      <c r="S159" s="9">
        <v>0.05</v>
      </c>
      <c r="T159" s="9">
        <v>0</v>
      </c>
    </row>
    <row r="160" spans="1:20" x14ac:dyDescent="0.3">
      <c r="A160" s="6" t="s">
        <v>329</v>
      </c>
      <c r="B160" s="8" t="s">
        <v>597</v>
      </c>
      <c r="C160" s="12" t="s">
        <v>328</v>
      </c>
      <c r="D160" s="6" t="s">
        <v>35</v>
      </c>
      <c r="E160" s="12">
        <v>250</v>
      </c>
      <c r="F160" s="6" t="s">
        <v>35</v>
      </c>
      <c r="G160" s="12">
        <v>250</v>
      </c>
      <c r="H160" s="12">
        <v>6</v>
      </c>
      <c r="I160" s="12">
        <v>60</v>
      </c>
      <c r="J160" s="12">
        <v>120</v>
      </c>
      <c r="K160" s="12">
        <v>77</v>
      </c>
      <c r="M160" s="6" t="s">
        <v>36</v>
      </c>
      <c r="N160" s="6">
        <v>1</v>
      </c>
      <c r="P160" s="12" t="s">
        <v>208</v>
      </c>
      <c r="Q160" s="12" t="s">
        <v>209</v>
      </c>
      <c r="R160" s="12">
        <v>33074100</v>
      </c>
      <c r="S160" s="9">
        <v>0.05</v>
      </c>
      <c r="T160" s="9">
        <v>0</v>
      </c>
    </row>
    <row r="161" spans="1:20" x14ac:dyDescent="0.3">
      <c r="A161" s="6" t="s">
        <v>330</v>
      </c>
      <c r="B161" s="8" t="s">
        <v>596</v>
      </c>
      <c r="C161" s="12" t="s">
        <v>328</v>
      </c>
      <c r="D161" s="6" t="s">
        <v>35</v>
      </c>
      <c r="E161" s="12">
        <v>95</v>
      </c>
      <c r="F161" s="6" t="s">
        <v>35</v>
      </c>
      <c r="G161" s="12">
        <v>95</v>
      </c>
      <c r="H161" s="12">
        <v>6</v>
      </c>
      <c r="I161" s="12">
        <v>120</v>
      </c>
      <c r="J161" s="12">
        <v>55</v>
      </c>
      <c r="K161" s="12">
        <v>38.5</v>
      </c>
      <c r="M161" s="6" t="s">
        <v>36</v>
      </c>
      <c r="N161" s="6">
        <v>1</v>
      </c>
      <c r="P161" s="12" t="s">
        <v>208</v>
      </c>
      <c r="Q161" s="12" t="s">
        <v>209</v>
      </c>
      <c r="R161" s="12">
        <v>33074100</v>
      </c>
      <c r="S161" s="9">
        <v>0.05</v>
      </c>
      <c r="T161" s="9">
        <v>0</v>
      </c>
    </row>
    <row r="162" spans="1:20" x14ac:dyDescent="0.3">
      <c r="A162" s="6" t="s">
        <v>331</v>
      </c>
      <c r="B162" s="8" t="s">
        <v>595</v>
      </c>
      <c r="C162" s="12" t="s">
        <v>328</v>
      </c>
      <c r="D162" s="6" t="s">
        <v>35</v>
      </c>
      <c r="E162" s="12">
        <v>26</v>
      </c>
      <c r="F162" s="6" t="s">
        <v>35</v>
      </c>
      <c r="G162" s="12">
        <v>26</v>
      </c>
      <c r="H162" s="12">
        <v>12</v>
      </c>
      <c r="I162" s="12">
        <v>600</v>
      </c>
      <c r="J162" s="12">
        <v>20</v>
      </c>
      <c r="K162" s="12">
        <v>15.5</v>
      </c>
      <c r="M162" s="6" t="s">
        <v>36</v>
      </c>
      <c r="N162" s="6">
        <v>1</v>
      </c>
      <c r="P162" s="12" t="s">
        <v>208</v>
      </c>
      <c r="Q162" s="12" t="s">
        <v>209</v>
      </c>
      <c r="R162" s="12">
        <v>33074100</v>
      </c>
      <c r="S162" s="9">
        <v>0.05</v>
      </c>
      <c r="T162" s="9">
        <v>0</v>
      </c>
    </row>
    <row r="163" spans="1:20" x14ac:dyDescent="0.3">
      <c r="A163" s="6" t="s">
        <v>332</v>
      </c>
      <c r="B163" s="8" t="s">
        <v>594</v>
      </c>
      <c r="C163" s="12" t="s">
        <v>333</v>
      </c>
      <c r="D163" s="6" t="s">
        <v>35</v>
      </c>
      <c r="E163" s="12">
        <v>50</v>
      </c>
      <c r="F163" s="6" t="s">
        <v>35</v>
      </c>
      <c r="G163" s="12">
        <v>50</v>
      </c>
      <c r="H163" s="12">
        <v>12</v>
      </c>
      <c r="I163" s="12">
        <v>144</v>
      </c>
      <c r="J163" s="12">
        <v>30</v>
      </c>
      <c r="K163" s="12">
        <v>25</v>
      </c>
      <c r="M163" s="6" t="s">
        <v>36</v>
      </c>
      <c r="N163" s="6">
        <v>1</v>
      </c>
      <c r="P163" s="12" t="s">
        <v>208</v>
      </c>
      <c r="Q163" s="12" t="s">
        <v>209</v>
      </c>
      <c r="R163" s="12">
        <v>33074100</v>
      </c>
      <c r="S163" s="9">
        <v>0.05</v>
      </c>
      <c r="T163" s="9">
        <v>0</v>
      </c>
    </row>
    <row r="164" spans="1:20" x14ac:dyDescent="0.3">
      <c r="A164" s="6" t="s">
        <v>334</v>
      </c>
      <c r="B164" s="8" t="s">
        <v>593</v>
      </c>
      <c r="C164" s="12" t="s">
        <v>335</v>
      </c>
      <c r="D164" s="6" t="s">
        <v>220</v>
      </c>
      <c r="E164" s="12">
        <v>9</v>
      </c>
      <c r="F164" s="6" t="s">
        <v>35</v>
      </c>
      <c r="G164" s="12">
        <v>9</v>
      </c>
      <c r="H164" s="12">
        <v>12</v>
      </c>
      <c r="I164" s="12">
        <v>600</v>
      </c>
      <c r="J164" s="12">
        <v>10</v>
      </c>
      <c r="K164" s="12">
        <v>7.7</v>
      </c>
      <c r="M164" s="6" t="s">
        <v>36</v>
      </c>
      <c r="N164" s="6">
        <v>1</v>
      </c>
      <c r="P164" s="12" t="s">
        <v>208</v>
      </c>
      <c r="Q164" s="12" t="s">
        <v>209</v>
      </c>
      <c r="R164" s="12">
        <v>33074100</v>
      </c>
      <c r="S164" s="9">
        <v>0.05</v>
      </c>
      <c r="T164" s="9">
        <v>0</v>
      </c>
    </row>
    <row r="165" spans="1:20" x14ac:dyDescent="0.3">
      <c r="A165" s="6" t="s">
        <v>336</v>
      </c>
      <c r="B165" s="8" t="s">
        <v>592</v>
      </c>
      <c r="C165" s="12" t="s">
        <v>335</v>
      </c>
      <c r="D165" s="6" t="s">
        <v>35</v>
      </c>
      <c r="E165" s="12">
        <v>202</v>
      </c>
      <c r="F165" s="6" t="s">
        <v>35</v>
      </c>
      <c r="G165" s="12">
        <v>202</v>
      </c>
      <c r="H165" s="12">
        <v>6</v>
      </c>
      <c r="I165" s="12">
        <v>60</v>
      </c>
      <c r="J165" s="12">
        <v>110</v>
      </c>
      <c r="K165" s="12">
        <v>80</v>
      </c>
      <c r="M165" s="6" t="s">
        <v>36</v>
      </c>
      <c r="N165" s="6">
        <v>1</v>
      </c>
      <c r="P165" s="12" t="s">
        <v>208</v>
      </c>
      <c r="Q165" s="12" t="s">
        <v>209</v>
      </c>
      <c r="R165" s="12">
        <v>33074100</v>
      </c>
      <c r="S165" s="9">
        <v>0.05</v>
      </c>
      <c r="T165" s="9">
        <v>0</v>
      </c>
    </row>
    <row r="166" spans="1:20" x14ac:dyDescent="0.3">
      <c r="A166" s="6" t="s">
        <v>337</v>
      </c>
      <c r="B166" s="8" t="s">
        <v>591</v>
      </c>
      <c r="C166" s="12" t="s">
        <v>335</v>
      </c>
      <c r="D166" s="6" t="s">
        <v>35</v>
      </c>
      <c r="E166" s="12">
        <v>27</v>
      </c>
      <c r="F166" s="6" t="s">
        <v>35</v>
      </c>
      <c r="G166" s="12">
        <v>27</v>
      </c>
      <c r="H166" s="12">
        <v>12</v>
      </c>
      <c r="I166" s="12">
        <v>288</v>
      </c>
      <c r="J166" s="12">
        <v>25</v>
      </c>
      <c r="K166" s="12">
        <v>15.5</v>
      </c>
      <c r="M166" s="6" t="s">
        <v>36</v>
      </c>
      <c r="N166" s="6">
        <v>1</v>
      </c>
      <c r="P166" s="12" t="s">
        <v>208</v>
      </c>
      <c r="Q166" s="12" t="s">
        <v>209</v>
      </c>
      <c r="R166" s="12">
        <v>33074100</v>
      </c>
      <c r="S166" s="9">
        <v>0.05</v>
      </c>
      <c r="T166" s="9">
        <v>0</v>
      </c>
    </row>
    <row r="167" spans="1:20" x14ac:dyDescent="0.3">
      <c r="A167" s="6" t="s">
        <v>338</v>
      </c>
      <c r="B167" s="8" t="s">
        <v>590</v>
      </c>
      <c r="C167" s="12" t="s">
        <v>335</v>
      </c>
      <c r="D167" s="6" t="s">
        <v>35</v>
      </c>
      <c r="E167" s="12">
        <v>5</v>
      </c>
      <c r="F167" s="6" t="s">
        <v>35</v>
      </c>
      <c r="G167" s="12">
        <v>5</v>
      </c>
      <c r="H167" s="12">
        <v>12</v>
      </c>
      <c r="I167" s="12">
        <v>1200</v>
      </c>
      <c r="J167" s="12">
        <v>5</v>
      </c>
      <c r="K167" s="12">
        <v>4.16</v>
      </c>
      <c r="M167" s="6" t="s">
        <v>36</v>
      </c>
      <c r="N167" s="6">
        <v>1</v>
      </c>
      <c r="P167" s="12" t="s">
        <v>208</v>
      </c>
      <c r="Q167" s="12" t="s">
        <v>209</v>
      </c>
      <c r="R167" s="12">
        <v>33074100</v>
      </c>
      <c r="S167" s="9">
        <v>0.05</v>
      </c>
      <c r="T167" s="9">
        <v>0</v>
      </c>
    </row>
    <row r="168" spans="1:20" x14ac:dyDescent="0.3">
      <c r="A168" s="6" t="s">
        <v>339</v>
      </c>
      <c r="B168" s="8" t="s">
        <v>589</v>
      </c>
      <c r="C168" s="12" t="s">
        <v>335</v>
      </c>
      <c r="D168" s="6" t="s">
        <v>220</v>
      </c>
      <c r="E168" s="12">
        <v>88</v>
      </c>
      <c r="F168" s="6" t="s">
        <v>35</v>
      </c>
      <c r="G168" s="12">
        <v>88</v>
      </c>
      <c r="H168" s="12">
        <v>6</v>
      </c>
      <c r="I168" s="12">
        <v>120</v>
      </c>
      <c r="J168" s="12">
        <v>55</v>
      </c>
      <c r="K168" s="12">
        <v>38.5</v>
      </c>
      <c r="M168" s="6" t="s">
        <v>36</v>
      </c>
      <c r="N168" s="6">
        <v>1</v>
      </c>
      <c r="P168" s="12" t="s">
        <v>208</v>
      </c>
      <c r="Q168" s="12" t="s">
        <v>209</v>
      </c>
      <c r="R168" s="12">
        <v>33074100</v>
      </c>
      <c r="S168" s="9">
        <v>0.05</v>
      </c>
      <c r="T168" s="9">
        <v>0</v>
      </c>
    </row>
    <row r="169" spans="1:20" x14ac:dyDescent="0.3">
      <c r="A169" s="6" t="s">
        <v>340</v>
      </c>
      <c r="B169" s="8" t="s">
        <v>588</v>
      </c>
      <c r="C169" s="12" t="s">
        <v>341</v>
      </c>
      <c r="D169" s="6" t="s">
        <v>35</v>
      </c>
      <c r="E169" s="12">
        <v>20</v>
      </c>
      <c r="F169" s="6" t="s">
        <v>35</v>
      </c>
      <c r="G169" s="12">
        <v>20</v>
      </c>
      <c r="H169" s="12">
        <v>12</v>
      </c>
      <c r="I169" s="12">
        <v>36</v>
      </c>
      <c r="J169" s="12">
        <v>10</v>
      </c>
      <c r="K169" s="12">
        <v>6</v>
      </c>
      <c r="M169" s="6" t="s">
        <v>81</v>
      </c>
      <c r="N169" s="6">
        <v>1</v>
      </c>
      <c r="P169" s="12" t="s">
        <v>208</v>
      </c>
      <c r="Q169" s="12" t="s">
        <v>209</v>
      </c>
      <c r="R169" s="12">
        <v>9103090</v>
      </c>
      <c r="S169" s="9">
        <v>0.05</v>
      </c>
      <c r="T169" s="9">
        <v>0</v>
      </c>
    </row>
    <row r="170" spans="1:20" x14ac:dyDescent="0.3">
      <c r="A170" s="6" t="s">
        <v>342</v>
      </c>
      <c r="B170" s="8" t="s">
        <v>587</v>
      </c>
      <c r="C170" s="12" t="s">
        <v>343</v>
      </c>
      <c r="D170" s="6" t="s">
        <v>220</v>
      </c>
      <c r="E170" s="12">
        <v>10</v>
      </c>
      <c r="F170" s="6" t="s">
        <v>35</v>
      </c>
      <c r="G170" s="12">
        <v>10</v>
      </c>
      <c r="H170" s="12">
        <v>12</v>
      </c>
      <c r="I170" s="12">
        <v>144</v>
      </c>
      <c r="J170" s="12">
        <v>15</v>
      </c>
      <c r="K170" s="12">
        <v>8</v>
      </c>
      <c r="M170" s="6" t="s">
        <v>36</v>
      </c>
      <c r="N170" s="6">
        <v>1</v>
      </c>
      <c r="P170" s="12" t="s">
        <v>208</v>
      </c>
      <c r="Q170" s="12" t="s">
        <v>209</v>
      </c>
      <c r="R170" s="12">
        <v>33074100</v>
      </c>
      <c r="S170" s="9">
        <v>0.05</v>
      </c>
      <c r="T170" s="9">
        <v>0</v>
      </c>
    </row>
    <row r="171" spans="1:20" x14ac:dyDescent="0.3">
      <c r="A171" s="6" t="s">
        <v>344</v>
      </c>
      <c r="B171" s="8" t="s">
        <v>586</v>
      </c>
      <c r="C171" s="12" t="s">
        <v>345</v>
      </c>
      <c r="D171" s="6" t="s">
        <v>35</v>
      </c>
      <c r="E171" s="12">
        <v>40</v>
      </c>
      <c r="F171" s="6" t="s">
        <v>35</v>
      </c>
      <c r="G171" s="12">
        <v>40</v>
      </c>
      <c r="H171" s="12">
        <v>24</v>
      </c>
      <c r="I171" s="12">
        <v>240</v>
      </c>
      <c r="J171" s="12">
        <v>10</v>
      </c>
      <c r="K171" s="12">
        <v>6</v>
      </c>
      <c r="M171" s="6" t="s">
        <v>81</v>
      </c>
      <c r="N171" s="6">
        <v>1</v>
      </c>
      <c r="P171" s="12" t="s">
        <v>208</v>
      </c>
      <c r="Q171" s="12" t="s">
        <v>209</v>
      </c>
      <c r="R171" s="12">
        <v>33049940</v>
      </c>
      <c r="S171" s="9">
        <v>0.05</v>
      </c>
      <c r="T171" s="9">
        <v>0</v>
      </c>
    </row>
    <row r="172" spans="1:20" x14ac:dyDescent="0.3">
      <c r="A172" s="6" t="s">
        <v>346</v>
      </c>
      <c r="B172" s="8" t="s">
        <v>585</v>
      </c>
      <c r="C172" s="12" t="s">
        <v>347</v>
      </c>
      <c r="D172" s="6" t="s">
        <v>35</v>
      </c>
      <c r="E172" s="12">
        <v>40</v>
      </c>
      <c r="F172" s="6" t="s">
        <v>35</v>
      </c>
      <c r="G172" s="12">
        <v>40</v>
      </c>
      <c r="H172" s="12">
        <v>6</v>
      </c>
      <c r="I172" s="12">
        <v>96</v>
      </c>
      <c r="J172" s="12">
        <v>150</v>
      </c>
      <c r="K172" s="12">
        <v>116</v>
      </c>
      <c r="M172" s="6" t="s">
        <v>36</v>
      </c>
      <c r="N172" s="6">
        <v>1</v>
      </c>
      <c r="P172" s="12" t="s">
        <v>208</v>
      </c>
      <c r="Q172" s="12" t="s">
        <v>209</v>
      </c>
      <c r="R172" s="12">
        <v>33074100</v>
      </c>
      <c r="S172" s="9">
        <v>0.05</v>
      </c>
      <c r="T172" s="9">
        <v>0</v>
      </c>
    </row>
    <row r="173" spans="1:20" x14ac:dyDescent="0.3">
      <c r="A173" s="6" t="s">
        <v>348</v>
      </c>
      <c r="B173" s="8" t="s">
        <v>584</v>
      </c>
      <c r="C173" s="12" t="s">
        <v>347</v>
      </c>
      <c r="D173" s="6" t="s">
        <v>35</v>
      </c>
      <c r="E173" s="12">
        <v>14</v>
      </c>
      <c r="F173" s="6" t="s">
        <v>35</v>
      </c>
      <c r="G173" s="12">
        <v>14</v>
      </c>
      <c r="H173" s="12">
        <v>6</v>
      </c>
      <c r="I173" s="12">
        <v>96</v>
      </c>
      <c r="J173" s="12">
        <v>75</v>
      </c>
      <c r="K173" s="12">
        <v>58</v>
      </c>
      <c r="M173" s="6" t="s">
        <v>36</v>
      </c>
      <c r="N173" s="6">
        <v>1</v>
      </c>
      <c r="P173" s="12" t="s">
        <v>208</v>
      </c>
      <c r="Q173" s="12" t="s">
        <v>209</v>
      </c>
      <c r="R173" s="12">
        <v>33074100</v>
      </c>
      <c r="S173" s="9">
        <v>0.05</v>
      </c>
      <c r="T173" s="9">
        <v>0</v>
      </c>
    </row>
    <row r="174" spans="1:20" x14ac:dyDescent="0.3">
      <c r="A174" s="6" t="s">
        <v>349</v>
      </c>
      <c r="B174" s="8" t="s">
        <v>583</v>
      </c>
      <c r="C174" s="12" t="s">
        <v>350</v>
      </c>
      <c r="D174" s="6" t="s">
        <v>35</v>
      </c>
      <c r="E174" s="12">
        <v>25</v>
      </c>
      <c r="F174" s="6" t="s">
        <v>35</v>
      </c>
      <c r="G174" s="12">
        <v>25</v>
      </c>
      <c r="H174" s="12">
        <v>12</v>
      </c>
      <c r="I174" s="12">
        <v>36</v>
      </c>
      <c r="J174" s="12">
        <v>10</v>
      </c>
      <c r="K174" s="12">
        <v>6</v>
      </c>
      <c r="M174" s="6" t="s">
        <v>81</v>
      </c>
      <c r="N174" s="6">
        <v>1</v>
      </c>
      <c r="P174" s="12" t="s">
        <v>208</v>
      </c>
      <c r="Q174" s="12" t="s">
        <v>351</v>
      </c>
      <c r="R174" s="12">
        <v>33049940</v>
      </c>
      <c r="S174" s="9">
        <v>0.05</v>
      </c>
      <c r="T174" s="9">
        <v>0</v>
      </c>
    </row>
    <row r="175" spans="1:20" x14ac:dyDescent="0.3">
      <c r="A175" s="6" t="s">
        <v>352</v>
      </c>
      <c r="B175" s="8" t="s">
        <v>582</v>
      </c>
      <c r="C175" s="12" t="s">
        <v>350</v>
      </c>
      <c r="D175" s="6" t="s">
        <v>35</v>
      </c>
      <c r="E175" s="12">
        <v>40</v>
      </c>
      <c r="F175" s="6" t="s">
        <v>35</v>
      </c>
      <c r="G175" s="12">
        <v>40</v>
      </c>
      <c r="H175" s="12">
        <v>10</v>
      </c>
      <c r="I175" s="12">
        <v>50</v>
      </c>
      <c r="J175" s="12">
        <v>15</v>
      </c>
      <c r="K175" s="12">
        <v>10</v>
      </c>
      <c r="M175" s="6" t="s">
        <v>81</v>
      </c>
      <c r="N175" s="6">
        <v>1</v>
      </c>
      <c r="P175" s="12" t="s">
        <v>208</v>
      </c>
      <c r="Q175" s="12" t="s">
        <v>351</v>
      </c>
      <c r="R175" s="12">
        <v>33049940</v>
      </c>
      <c r="S175" s="9">
        <v>0.05</v>
      </c>
      <c r="T175" s="9">
        <v>0</v>
      </c>
    </row>
    <row r="176" spans="1:20" x14ac:dyDescent="0.3">
      <c r="A176" s="6" t="s">
        <v>353</v>
      </c>
      <c r="B176" s="8" t="s">
        <v>581</v>
      </c>
      <c r="C176" s="12" t="s">
        <v>354</v>
      </c>
      <c r="D176" s="6" t="s">
        <v>35</v>
      </c>
      <c r="E176" s="12">
        <v>35</v>
      </c>
      <c r="F176" s="6" t="s">
        <v>35</v>
      </c>
      <c r="G176" s="12">
        <v>35</v>
      </c>
      <c r="H176" s="12">
        <v>10</v>
      </c>
      <c r="I176" s="12">
        <v>50</v>
      </c>
      <c r="J176" s="12">
        <v>15</v>
      </c>
      <c r="K176" s="12">
        <v>10</v>
      </c>
      <c r="M176" s="6" t="s">
        <v>81</v>
      </c>
      <c r="N176" s="6">
        <v>1</v>
      </c>
      <c r="P176" s="12" t="s">
        <v>208</v>
      </c>
      <c r="Q176" s="12" t="s">
        <v>351</v>
      </c>
      <c r="R176" s="12">
        <v>33049940</v>
      </c>
      <c r="S176" s="9">
        <v>0.05</v>
      </c>
      <c r="T176" s="9">
        <v>0</v>
      </c>
    </row>
    <row r="177" spans="1:20" x14ac:dyDescent="0.3">
      <c r="A177" s="6" t="s">
        <v>355</v>
      </c>
      <c r="B177" s="8" t="s">
        <v>580</v>
      </c>
      <c r="C177" s="12" t="s">
        <v>356</v>
      </c>
      <c r="D177" s="6" t="s">
        <v>35</v>
      </c>
      <c r="E177" s="12">
        <v>45</v>
      </c>
      <c r="F177" s="6" t="s">
        <v>35</v>
      </c>
      <c r="G177" s="12">
        <v>45</v>
      </c>
      <c r="I177" s="12">
        <v>24</v>
      </c>
      <c r="J177" s="12">
        <v>399</v>
      </c>
      <c r="K177" s="12">
        <v>270</v>
      </c>
      <c r="L177" s="12">
        <v>1</v>
      </c>
      <c r="M177" s="6" t="s">
        <v>36</v>
      </c>
      <c r="N177" s="6">
        <v>1</v>
      </c>
      <c r="P177" s="12" t="s">
        <v>208</v>
      </c>
      <c r="Q177" s="12" t="s">
        <v>269</v>
      </c>
      <c r="R177" s="12">
        <v>33074900</v>
      </c>
      <c r="S177" s="9">
        <v>0.05</v>
      </c>
      <c r="T177" s="9">
        <v>0</v>
      </c>
    </row>
    <row r="178" spans="1:20" x14ac:dyDescent="0.3">
      <c r="A178" s="6" t="s">
        <v>357</v>
      </c>
      <c r="B178" s="8" t="s">
        <v>579</v>
      </c>
      <c r="C178" s="13" t="s">
        <v>358</v>
      </c>
      <c r="D178" s="12" t="s">
        <v>35</v>
      </c>
      <c r="E178" s="14">
        <v>100</v>
      </c>
      <c r="F178" s="6" t="s">
        <v>35</v>
      </c>
      <c r="G178" s="14">
        <v>100</v>
      </c>
      <c r="H178" s="12">
        <v>6</v>
      </c>
      <c r="I178" s="3">
        <v>96</v>
      </c>
      <c r="J178" s="12">
        <v>80</v>
      </c>
      <c r="K178" s="12">
        <v>37.5</v>
      </c>
      <c r="M178" s="6" t="s">
        <v>36</v>
      </c>
      <c r="N178" s="6">
        <v>1</v>
      </c>
      <c r="P178" s="12" t="s">
        <v>208</v>
      </c>
      <c r="Q178" s="12" t="s">
        <v>359</v>
      </c>
      <c r="R178" s="12">
        <v>33074100</v>
      </c>
      <c r="S178" s="9">
        <v>0.05</v>
      </c>
      <c r="T178" s="9">
        <v>0</v>
      </c>
    </row>
    <row r="179" spans="1:20" x14ac:dyDescent="0.3">
      <c r="A179" s="6" t="s">
        <v>360</v>
      </c>
      <c r="B179" s="8" t="s">
        <v>578</v>
      </c>
      <c r="C179" s="13" t="s">
        <v>361</v>
      </c>
      <c r="D179" s="12" t="s">
        <v>35</v>
      </c>
      <c r="E179" s="14">
        <v>100</v>
      </c>
      <c r="F179" s="6" t="s">
        <v>35</v>
      </c>
      <c r="G179" s="14">
        <v>100</v>
      </c>
      <c r="H179" s="12">
        <v>6</v>
      </c>
      <c r="I179" s="4">
        <v>96</v>
      </c>
      <c r="J179" s="12">
        <v>80</v>
      </c>
      <c r="K179" s="12">
        <v>37.5</v>
      </c>
      <c r="M179" s="6" t="s">
        <v>36</v>
      </c>
      <c r="N179" s="6">
        <v>1</v>
      </c>
      <c r="P179" s="12" t="s">
        <v>208</v>
      </c>
      <c r="Q179" s="12" t="s">
        <v>359</v>
      </c>
      <c r="R179" s="12">
        <v>33074100</v>
      </c>
      <c r="S179" s="9">
        <v>0.05</v>
      </c>
      <c r="T179" s="9">
        <v>0</v>
      </c>
    </row>
    <row r="180" spans="1:20" x14ac:dyDescent="0.3">
      <c r="A180" s="6" t="s">
        <v>362</v>
      </c>
      <c r="B180" s="8" t="s">
        <v>577</v>
      </c>
      <c r="C180" s="13" t="s">
        <v>363</v>
      </c>
      <c r="D180" s="12" t="s">
        <v>35</v>
      </c>
      <c r="E180" s="14">
        <v>10</v>
      </c>
      <c r="F180" s="6" t="s">
        <v>35</v>
      </c>
      <c r="G180" s="14">
        <v>10</v>
      </c>
      <c r="H180" s="12">
        <v>12</v>
      </c>
      <c r="I180" s="4">
        <v>144</v>
      </c>
      <c r="J180" s="12">
        <v>10</v>
      </c>
      <c r="K180" s="12">
        <v>8</v>
      </c>
      <c r="M180" s="6" t="s">
        <v>36</v>
      </c>
      <c r="N180" s="6">
        <v>1</v>
      </c>
      <c r="P180" s="12" t="s">
        <v>208</v>
      </c>
      <c r="Q180" s="12" t="s">
        <v>227</v>
      </c>
      <c r="R180" s="12">
        <v>33074100</v>
      </c>
      <c r="S180" s="9">
        <v>0.05</v>
      </c>
      <c r="T180" s="9">
        <v>0</v>
      </c>
    </row>
    <row r="181" spans="1:20" x14ac:dyDescent="0.3">
      <c r="A181" s="6" t="s">
        <v>364</v>
      </c>
      <c r="B181" s="8" t="s">
        <v>749</v>
      </c>
      <c r="C181" s="13" t="s">
        <v>365</v>
      </c>
      <c r="D181" s="12" t="s">
        <v>35</v>
      </c>
      <c r="E181" s="14">
        <v>14</v>
      </c>
      <c r="F181" s="6" t="s">
        <v>35</v>
      </c>
      <c r="G181" s="14">
        <v>14</v>
      </c>
      <c r="H181" s="12">
        <v>12</v>
      </c>
      <c r="I181" s="4">
        <v>288</v>
      </c>
      <c r="J181" s="12">
        <v>25</v>
      </c>
      <c r="K181" s="12">
        <v>15.5</v>
      </c>
      <c r="M181" s="6" t="s">
        <v>36</v>
      </c>
      <c r="N181" s="6">
        <v>1</v>
      </c>
      <c r="P181" s="12" t="s">
        <v>208</v>
      </c>
      <c r="Q181" s="12" t="s">
        <v>227</v>
      </c>
      <c r="R181" s="12">
        <v>33074100</v>
      </c>
      <c r="S181" s="9">
        <v>0.05</v>
      </c>
      <c r="T181" s="9">
        <v>0</v>
      </c>
    </row>
    <row r="182" spans="1:20" x14ac:dyDescent="0.3">
      <c r="A182" s="6" t="s">
        <v>366</v>
      </c>
      <c r="B182" s="8" t="s">
        <v>748</v>
      </c>
      <c r="C182" s="13" t="s">
        <v>367</v>
      </c>
      <c r="D182" s="6" t="s">
        <v>185</v>
      </c>
      <c r="E182" s="14">
        <v>500</v>
      </c>
      <c r="F182" s="6" t="s">
        <v>35</v>
      </c>
      <c r="G182" s="14">
        <v>500</v>
      </c>
      <c r="H182" s="12" t="s">
        <v>75</v>
      </c>
      <c r="I182" s="4">
        <v>24</v>
      </c>
      <c r="J182" s="12">
        <v>120</v>
      </c>
      <c r="K182" s="12">
        <v>75</v>
      </c>
      <c r="L182" s="6">
        <v>1</v>
      </c>
      <c r="M182" s="6" t="s">
        <v>301</v>
      </c>
      <c r="N182" s="6">
        <v>1</v>
      </c>
      <c r="P182" s="12" t="s">
        <v>208</v>
      </c>
      <c r="Q182" s="12" t="s">
        <v>359</v>
      </c>
      <c r="R182" s="12">
        <v>29142922</v>
      </c>
      <c r="S182" s="9">
        <v>0.05</v>
      </c>
      <c r="T182" s="9">
        <v>0</v>
      </c>
    </row>
    <row r="183" spans="1:20" x14ac:dyDescent="0.3">
      <c r="A183" s="6" t="s">
        <v>368</v>
      </c>
      <c r="B183" s="8" t="s">
        <v>747</v>
      </c>
      <c r="C183" s="13" t="s">
        <v>369</v>
      </c>
      <c r="D183" s="6" t="s">
        <v>35</v>
      </c>
      <c r="E183" s="14">
        <v>100</v>
      </c>
      <c r="F183" s="6" t="s">
        <v>35</v>
      </c>
      <c r="G183" s="14">
        <v>100</v>
      </c>
      <c r="H183" s="12">
        <v>6</v>
      </c>
      <c r="I183" s="4">
        <v>96</v>
      </c>
      <c r="J183" s="12">
        <v>80</v>
      </c>
      <c r="K183" s="12">
        <v>37.5</v>
      </c>
      <c r="M183" s="6" t="s">
        <v>36</v>
      </c>
      <c r="N183" s="6">
        <v>1</v>
      </c>
      <c r="P183" s="12" t="s">
        <v>208</v>
      </c>
      <c r="Q183" s="12" t="s">
        <v>230</v>
      </c>
      <c r="R183" s="12">
        <v>33074100</v>
      </c>
      <c r="S183" s="9">
        <v>0.05</v>
      </c>
      <c r="T183" s="9">
        <v>0</v>
      </c>
    </row>
    <row r="184" spans="1:20" x14ac:dyDescent="0.3">
      <c r="A184" s="6" t="s">
        <v>370</v>
      </c>
      <c r="B184" s="8" t="s">
        <v>746</v>
      </c>
      <c r="C184" s="13" t="s">
        <v>371</v>
      </c>
      <c r="D184" s="6" t="s">
        <v>35</v>
      </c>
      <c r="E184" s="14">
        <v>10</v>
      </c>
      <c r="F184" s="6" t="s">
        <v>35</v>
      </c>
      <c r="G184" s="14">
        <v>10</v>
      </c>
      <c r="H184" s="12">
        <v>12</v>
      </c>
      <c r="I184" s="4">
        <v>600</v>
      </c>
      <c r="J184" s="12">
        <v>10</v>
      </c>
      <c r="K184" s="12">
        <v>7.2</v>
      </c>
      <c r="M184" s="6" t="s">
        <v>36</v>
      </c>
      <c r="N184" s="6">
        <v>1</v>
      </c>
      <c r="P184" s="12" t="s">
        <v>208</v>
      </c>
      <c r="Q184" s="12" t="s">
        <v>269</v>
      </c>
      <c r="R184" s="12">
        <v>33074100</v>
      </c>
      <c r="S184" s="9">
        <v>0.05</v>
      </c>
      <c r="T184" s="9">
        <v>0</v>
      </c>
    </row>
    <row r="185" spans="1:20" x14ac:dyDescent="0.3">
      <c r="A185" s="6" t="s">
        <v>372</v>
      </c>
      <c r="B185" s="8" t="s">
        <v>745</v>
      </c>
      <c r="C185" s="13" t="s">
        <v>373</v>
      </c>
      <c r="D185" s="6" t="s">
        <v>35</v>
      </c>
      <c r="E185" s="14">
        <v>15</v>
      </c>
      <c r="F185" s="6" t="s">
        <v>35</v>
      </c>
      <c r="G185" s="14">
        <v>15</v>
      </c>
      <c r="H185" s="12">
        <v>12</v>
      </c>
      <c r="I185" s="4">
        <v>240</v>
      </c>
      <c r="J185" s="12">
        <v>20</v>
      </c>
      <c r="K185" s="12">
        <v>16.5</v>
      </c>
      <c r="M185" s="6" t="s">
        <v>36</v>
      </c>
      <c r="N185" s="6">
        <v>1</v>
      </c>
      <c r="P185" s="12" t="s">
        <v>208</v>
      </c>
      <c r="Q185" s="12" t="s">
        <v>269</v>
      </c>
      <c r="R185" s="12">
        <v>33074100</v>
      </c>
      <c r="S185" s="9">
        <v>0.05</v>
      </c>
      <c r="T185" s="9">
        <v>0</v>
      </c>
    </row>
    <row r="186" spans="1:20" x14ac:dyDescent="0.3">
      <c r="A186" s="6" t="s">
        <v>374</v>
      </c>
      <c r="B186" s="8" t="s">
        <v>744</v>
      </c>
      <c r="C186" s="13" t="s">
        <v>375</v>
      </c>
      <c r="D186" s="6" t="s">
        <v>35</v>
      </c>
      <c r="E186" s="14">
        <v>15</v>
      </c>
      <c r="F186" s="6" t="s">
        <v>35</v>
      </c>
      <c r="G186" s="14">
        <v>15</v>
      </c>
      <c r="H186" s="12">
        <v>12</v>
      </c>
      <c r="I186" s="4">
        <v>288</v>
      </c>
      <c r="J186" s="12">
        <v>20</v>
      </c>
      <c r="K186" s="12">
        <v>15.4</v>
      </c>
      <c r="M186" s="6" t="s">
        <v>36</v>
      </c>
      <c r="N186" s="6">
        <v>1</v>
      </c>
      <c r="P186" s="12" t="s">
        <v>208</v>
      </c>
      <c r="Q186" s="12" t="s">
        <v>269</v>
      </c>
      <c r="R186" s="12">
        <v>33074100</v>
      </c>
      <c r="S186" s="9">
        <v>0.05</v>
      </c>
      <c r="T186" s="9">
        <v>0</v>
      </c>
    </row>
    <row r="187" spans="1:20" x14ac:dyDescent="0.3">
      <c r="A187" s="6" t="s">
        <v>376</v>
      </c>
      <c r="B187" s="8" t="s">
        <v>743</v>
      </c>
      <c r="C187" s="13" t="s">
        <v>375</v>
      </c>
      <c r="D187" s="6" t="s">
        <v>35</v>
      </c>
      <c r="E187" s="14">
        <v>23</v>
      </c>
      <c r="F187" s="6" t="s">
        <v>35</v>
      </c>
      <c r="G187" s="14">
        <v>23</v>
      </c>
      <c r="H187" s="12">
        <v>12</v>
      </c>
      <c r="I187" s="4">
        <v>168</v>
      </c>
      <c r="J187" s="12">
        <v>30</v>
      </c>
      <c r="K187" s="12">
        <v>23.1</v>
      </c>
      <c r="M187" s="6" t="s">
        <v>36</v>
      </c>
      <c r="N187" s="6">
        <v>1</v>
      </c>
      <c r="P187" s="12" t="s">
        <v>208</v>
      </c>
      <c r="Q187" s="12" t="s">
        <v>269</v>
      </c>
      <c r="R187" s="12">
        <v>33074100</v>
      </c>
      <c r="S187" s="9">
        <v>0.05</v>
      </c>
      <c r="T187" s="9">
        <v>0</v>
      </c>
    </row>
    <row r="188" spans="1:20" x14ac:dyDescent="0.3">
      <c r="A188" s="6" t="s">
        <v>377</v>
      </c>
      <c r="B188" s="8" t="s">
        <v>742</v>
      </c>
      <c r="C188" s="13" t="s">
        <v>378</v>
      </c>
      <c r="D188" s="6" t="s">
        <v>35</v>
      </c>
      <c r="E188" s="14">
        <v>100</v>
      </c>
      <c r="F188" s="6" t="s">
        <v>35</v>
      </c>
      <c r="G188" s="14">
        <v>100</v>
      </c>
      <c r="H188" s="12">
        <v>6</v>
      </c>
      <c r="I188" s="4">
        <v>48</v>
      </c>
      <c r="J188" s="12">
        <v>55</v>
      </c>
      <c r="K188" s="12">
        <v>32</v>
      </c>
      <c r="M188" s="6" t="s">
        <v>36</v>
      </c>
      <c r="N188" s="6">
        <v>1</v>
      </c>
      <c r="P188" s="12" t="s">
        <v>208</v>
      </c>
      <c r="Q188" s="12" t="s">
        <v>359</v>
      </c>
      <c r="R188" s="12">
        <v>33074100</v>
      </c>
      <c r="S188" s="9">
        <v>0.05</v>
      </c>
      <c r="T188" s="9">
        <v>0</v>
      </c>
    </row>
    <row r="189" spans="1:20" x14ac:dyDescent="0.3">
      <c r="A189" s="6" t="s">
        <v>379</v>
      </c>
      <c r="B189" s="8" t="s">
        <v>741</v>
      </c>
      <c r="C189" s="13" t="s">
        <v>380</v>
      </c>
      <c r="D189" s="6" t="s">
        <v>35</v>
      </c>
      <c r="E189" s="14">
        <v>100</v>
      </c>
      <c r="F189" s="6" t="s">
        <v>35</v>
      </c>
      <c r="G189" s="14">
        <v>100</v>
      </c>
      <c r="H189" s="12">
        <v>6</v>
      </c>
      <c r="I189" s="4">
        <v>96</v>
      </c>
      <c r="J189" s="12">
        <v>60</v>
      </c>
      <c r="K189" s="12">
        <v>46.2</v>
      </c>
      <c r="M189" s="6" t="s">
        <v>36</v>
      </c>
      <c r="N189" s="6">
        <v>1</v>
      </c>
      <c r="P189" s="12" t="s">
        <v>208</v>
      </c>
      <c r="Q189" s="12" t="s">
        <v>359</v>
      </c>
      <c r="R189" s="12">
        <v>33074100</v>
      </c>
      <c r="S189" s="9">
        <v>0.05</v>
      </c>
      <c r="T189" s="9">
        <v>0</v>
      </c>
    </row>
    <row r="190" spans="1:20" x14ac:dyDescent="0.3">
      <c r="A190" s="6" t="s">
        <v>381</v>
      </c>
      <c r="B190" s="8" t="s">
        <v>740</v>
      </c>
      <c r="C190" s="13" t="s">
        <v>382</v>
      </c>
      <c r="D190" s="6" t="s">
        <v>35</v>
      </c>
      <c r="E190" s="14">
        <v>100</v>
      </c>
      <c r="F190" s="6" t="s">
        <v>35</v>
      </c>
      <c r="G190" s="14">
        <v>100</v>
      </c>
      <c r="H190" s="12">
        <v>6</v>
      </c>
      <c r="I190" s="4">
        <v>60</v>
      </c>
      <c r="J190" s="12">
        <v>110</v>
      </c>
      <c r="K190" s="12">
        <v>77</v>
      </c>
      <c r="M190" s="6" t="s">
        <v>36</v>
      </c>
      <c r="N190" s="6">
        <v>1</v>
      </c>
      <c r="P190" s="12" t="s">
        <v>208</v>
      </c>
      <c r="Q190" s="12" t="s">
        <v>359</v>
      </c>
      <c r="R190" s="12">
        <v>33074100</v>
      </c>
      <c r="S190" s="9">
        <v>0.05</v>
      </c>
      <c r="T190" s="9">
        <v>0</v>
      </c>
    </row>
    <row r="191" spans="1:20" x14ac:dyDescent="0.3">
      <c r="A191" s="6" t="s">
        <v>383</v>
      </c>
      <c r="B191" s="8" t="s">
        <v>739</v>
      </c>
      <c r="C191" s="13" t="s">
        <v>384</v>
      </c>
      <c r="D191" s="6" t="s">
        <v>35</v>
      </c>
      <c r="E191" s="14">
        <v>5</v>
      </c>
      <c r="F191" s="6" t="s">
        <v>35</v>
      </c>
      <c r="G191" s="14">
        <v>5</v>
      </c>
      <c r="H191" s="12">
        <v>10</v>
      </c>
      <c r="I191" s="4">
        <v>90</v>
      </c>
      <c r="J191" s="12">
        <v>10</v>
      </c>
      <c r="K191" s="12">
        <v>7.3</v>
      </c>
      <c r="M191" s="6" t="s">
        <v>36</v>
      </c>
      <c r="N191" s="6">
        <v>1</v>
      </c>
      <c r="P191" s="12" t="s">
        <v>208</v>
      </c>
      <c r="Q191" s="12" t="s">
        <v>359</v>
      </c>
      <c r="R191" s="12">
        <v>33074100</v>
      </c>
      <c r="S191" s="9">
        <v>0.05</v>
      </c>
      <c r="T191" s="9">
        <v>0</v>
      </c>
    </row>
    <row r="192" spans="1:20" x14ac:dyDescent="0.3">
      <c r="A192" s="6" t="s">
        <v>385</v>
      </c>
      <c r="B192" s="8" t="s">
        <v>738</v>
      </c>
      <c r="C192" s="13" t="s">
        <v>386</v>
      </c>
      <c r="D192" s="6" t="s">
        <v>35</v>
      </c>
      <c r="E192" s="14">
        <v>10</v>
      </c>
      <c r="F192" s="6" t="s">
        <v>35</v>
      </c>
      <c r="G192" s="14">
        <v>10</v>
      </c>
      <c r="H192" s="12">
        <v>12</v>
      </c>
      <c r="I192" s="4">
        <v>600</v>
      </c>
      <c r="J192" s="12">
        <v>10</v>
      </c>
      <c r="K192" s="12">
        <v>7.3</v>
      </c>
      <c r="M192" s="6" t="s">
        <v>36</v>
      </c>
      <c r="N192" s="6">
        <v>1</v>
      </c>
      <c r="P192" s="12" t="s">
        <v>208</v>
      </c>
      <c r="Q192" s="12" t="s">
        <v>359</v>
      </c>
      <c r="R192" s="12">
        <v>33074100</v>
      </c>
      <c r="S192" s="9">
        <v>0.05</v>
      </c>
      <c r="T192" s="9">
        <v>0</v>
      </c>
    </row>
    <row r="193" spans="1:20" x14ac:dyDescent="0.3">
      <c r="A193" s="6" t="s">
        <v>387</v>
      </c>
      <c r="B193" s="8" t="s">
        <v>737</v>
      </c>
      <c r="C193" s="13" t="s">
        <v>386</v>
      </c>
      <c r="D193" s="6" t="s">
        <v>35</v>
      </c>
      <c r="E193" s="14">
        <v>15</v>
      </c>
      <c r="F193" s="6" t="s">
        <v>35</v>
      </c>
      <c r="G193" s="14">
        <v>15</v>
      </c>
      <c r="H193" s="12">
        <v>12</v>
      </c>
      <c r="I193" s="4">
        <v>288</v>
      </c>
      <c r="J193" s="12">
        <v>20</v>
      </c>
      <c r="K193" s="12">
        <v>15.4</v>
      </c>
      <c r="M193" s="6" t="s">
        <v>36</v>
      </c>
      <c r="N193" s="6">
        <v>1</v>
      </c>
      <c r="P193" s="12" t="s">
        <v>208</v>
      </c>
      <c r="Q193" s="12" t="s">
        <v>359</v>
      </c>
      <c r="R193" s="12">
        <v>33074100</v>
      </c>
      <c r="S193" s="9">
        <v>0.05</v>
      </c>
      <c r="T193" s="9">
        <v>0</v>
      </c>
    </row>
    <row r="194" spans="1:20" x14ac:dyDescent="0.3">
      <c r="A194" s="6" t="s">
        <v>388</v>
      </c>
      <c r="B194" s="8" t="s">
        <v>736</v>
      </c>
      <c r="C194" s="13" t="s">
        <v>386</v>
      </c>
      <c r="D194" s="6" t="s">
        <v>35</v>
      </c>
      <c r="E194" s="14">
        <v>100</v>
      </c>
      <c r="F194" s="6" t="s">
        <v>35</v>
      </c>
      <c r="G194" s="14">
        <v>100</v>
      </c>
      <c r="H194" s="12">
        <v>6</v>
      </c>
      <c r="I194" s="4">
        <v>48</v>
      </c>
      <c r="J194" s="12">
        <v>55</v>
      </c>
      <c r="K194" s="12">
        <v>32</v>
      </c>
      <c r="M194" s="6" t="s">
        <v>36</v>
      </c>
      <c r="N194" s="6">
        <v>1</v>
      </c>
      <c r="P194" s="12" t="s">
        <v>208</v>
      </c>
      <c r="Q194" s="12" t="s">
        <v>359</v>
      </c>
      <c r="R194" s="12">
        <v>33074100</v>
      </c>
      <c r="S194" s="9">
        <v>0.05</v>
      </c>
      <c r="T194" s="9">
        <v>0</v>
      </c>
    </row>
    <row r="195" spans="1:20" x14ac:dyDescent="0.3">
      <c r="A195" s="6" t="s">
        <v>389</v>
      </c>
      <c r="B195" s="8" t="s">
        <v>735</v>
      </c>
      <c r="C195" s="13" t="s">
        <v>390</v>
      </c>
      <c r="D195" s="6" t="s">
        <v>35</v>
      </c>
      <c r="E195" s="14">
        <v>10</v>
      </c>
      <c r="F195" s="6" t="s">
        <v>35</v>
      </c>
      <c r="G195" s="14">
        <v>10</v>
      </c>
      <c r="H195" s="12">
        <v>12</v>
      </c>
      <c r="I195" s="4">
        <v>600</v>
      </c>
      <c r="J195" s="12">
        <v>10</v>
      </c>
      <c r="K195" s="12">
        <v>7.7</v>
      </c>
      <c r="M195" s="6" t="s">
        <v>36</v>
      </c>
      <c r="N195" s="6">
        <v>1</v>
      </c>
      <c r="P195" s="12" t="s">
        <v>208</v>
      </c>
      <c r="Q195" s="12" t="s">
        <v>359</v>
      </c>
      <c r="R195" s="12">
        <v>33074100</v>
      </c>
      <c r="S195" s="9">
        <v>0.05</v>
      </c>
      <c r="T195" s="9">
        <v>0</v>
      </c>
    </row>
    <row r="196" spans="1:20" x14ac:dyDescent="0.3">
      <c r="A196" s="6" t="s">
        <v>391</v>
      </c>
      <c r="B196" s="8" t="s">
        <v>734</v>
      </c>
      <c r="C196" s="13" t="s">
        <v>335</v>
      </c>
      <c r="D196" s="6" t="s">
        <v>35</v>
      </c>
      <c r="E196" s="14">
        <v>48</v>
      </c>
      <c r="F196" s="6" t="s">
        <v>35</v>
      </c>
      <c r="G196" s="14">
        <v>48</v>
      </c>
      <c r="H196" s="12">
        <v>6</v>
      </c>
      <c r="I196" s="4">
        <v>96</v>
      </c>
      <c r="J196" s="12">
        <v>75</v>
      </c>
      <c r="K196" s="12">
        <v>37</v>
      </c>
      <c r="M196" s="6" t="s">
        <v>36</v>
      </c>
      <c r="N196" s="6">
        <v>1</v>
      </c>
      <c r="P196" s="12" t="s">
        <v>208</v>
      </c>
      <c r="Q196" s="12" t="s">
        <v>209</v>
      </c>
      <c r="R196" s="12">
        <v>33074100</v>
      </c>
      <c r="S196" s="9">
        <v>0.05</v>
      </c>
      <c r="T196" s="9">
        <v>0</v>
      </c>
    </row>
    <row r="197" spans="1:20" x14ac:dyDescent="0.3">
      <c r="A197" s="6" t="s">
        <v>392</v>
      </c>
      <c r="B197" s="8" t="s">
        <v>733</v>
      </c>
      <c r="C197" s="13" t="s">
        <v>393</v>
      </c>
      <c r="D197" s="6" t="s">
        <v>35</v>
      </c>
      <c r="E197" s="14">
        <v>32</v>
      </c>
      <c r="F197" s="6" t="s">
        <v>35</v>
      </c>
      <c r="G197" s="14">
        <v>32</v>
      </c>
      <c r="H197" s="12">
        <v>12</v>
      </c>
      <c r="I197" s="4">
        <v>120</v>
      </c>
      <c r="J197" s="12">
        <v>50</v>
      </c>
      <c r="K197" s="12">
        <v>38.5</v>
      </c>
      <c r="M197" s="6" t="s">
        <v>36</v>
      </c>
      <c r="N197" s="6">
        <v>1</v>
      </c>
      <c r="P197" s="12" t="s">
        <v>208</v>
      </c>
      <c r="Q197" s="12" t="s">
        <v>209</v>
      </c>
      <c r="R197" s="12">
        <v>33074100</v>
      </c>
      <c r="S197" s="9">
        <v>0.05</v>
      </c>
      <c r="T197" s="9">
        <v>0</v>
      </c>
    </row>
    <row r="198" spans="1:20" x14ac:dyDescent="0.3">
      <c r="A198" s="6" t="s">
        <v>394</v>
      </c>
      <c r="B198" s="8" t="s">
        <v>732</v>
      </c>
      <c r="C198" s="13" t="s">
        <v>285</v>
      </c>
      <c r="D198" s="6" t="s">
        <v>35</v>
      </c>
      <c r="E198" s="14">
        <v>50</v>
      </c>
      <c r="F198" s="6" t="s">
        <v>35</v>
      </c>
      <c r="G198" s="14">
        <v>50</v>
      </c>
      <c r="H198" s="12">
        <v>6</v>
      </c>
      <c r="I198" s="4">
        <v>81</v>
      </c>
      <c r="J198" s="12">
        <v>72</v>
      </c>
      <c r="K198" s="12">
        <v>52</v>
      </c>
      <c r="M198" s="6" t="s">
        <v>36</v>
      </c>
      <c r="N198" s="6">
        <v>1</v>
      </c>
      <c r="P198" s="12" t="s">
        <v>208</v>
      </c>
      <c r="Q198" s="12" t="s">
        <v>209</v>
      </c>
      <c r="R198" s="12">
        <v>33074100</v>
      </c>
      <c r="S198" s="9">
        <v>0.05</v>
      </c>
      <c r="T198" s="9">
        <v>0</v>
      </c>
    </row>
    <row r="199" spans="1:20" x14ac:dyDescent="0.3">
      <c r="A199" s="6" t="s">
        <v>395</v>
      </c>
      <c r="B199" s="8" t="s">
        <v>731</v>
      </c>
      <c r="C199" s="13" t="s">
        <v>213</v>
      </c>
      <c r="D199" s="6" t="s">
        <v>35</v>
      </c>
      <c r="E199" s="6">
        <v>45</v>
      </c>
      <c r="F199" s="6" t="s">
        <v>35</v>
      </c>
      <c r="G199" s="6">
        <v>45</v>
      </c>
      <c r="H199" s="12" t="s">
        <v>75</v>
      </c>
      <c r="I199" s="4">
        <v>60</v>
      </c>
      <c r="J199" s="12">
        <v>199</v>
      </c>
      <c r="K199" s="12">
        <v>120</v>
      </c>
      <c r="L199" s="6">
        <v>1</v>
      </c>
      <c r="M199" s="6" t="s">
        <v>36</v>
      </c>
      <c r="N199" s="6">
        <v>1</v>
      </c>
      <c r="P199" s="12" t="s">
        <v>396</v>
      </c>
      <c r="Q199" s="12" t="s">
        <v>214</v>
      </c>
      <c r="R199" s="12">
        <v>29142922</v>
      </c>
      <c r="S199" s="9">
        <v>0.05</v>
      </c>
      <c r="T199" s="9">
        <v>0</v>
      </c>
    </row>
  </sheetData>
  <dataValidations count="6">
    <dataValidation type="list" allowBlank="1" showErrorMessage="1" errorTitle="Invalid value" error="Pick one of: 0%, 3%, 5%, 12%, 18%, 28%." sqref="S3:S996" xr:uid="{00000000-0002-0000-0000-000004000000}">
      <formula1>"0%,3%,5%,12%,18%,28%"</formula1>
    </dataValidation>
    <dataValidation type="list" allowBlank="1" showErrorMessage="1" errorTitle="Invalid value" error="Pick one of: 0%, 1%, 3%, 5%, 12%, 22%." sqref="T3:T996" xr:uid="{00000000-0002-0000-0000-000006000000}">
      <formula1>"0%,1%,3%,5%,12%,22%"</formula1>
    </dataValidation>
    <dataValidation type="list" showErrorMessage="1" errorTitle="Invalid value" error="Pick one of: Gram, Kilogram, Liter, Milliliter, Pc, Pcs, …." sqref="F68 F66 D182:D996 D147:D148 D152:D177 D3:D145" xr:uid="{00000000-0002-0000-0000-000008000000}">
      <formula1>"Gram,Kilogram,Liter,Milliliter,Pc,Pcs,Pouch,Pack,Sachet,Bag,Lamination Bag,Bottle,Pet Bottle,Jar,Pet Jar,Box,Tin,Can,Case,Tube,Tetra Pack,Sheet,Set,Pad,Refill,Nons,Ladi,Bundle,Loose,Plastic Jar,Container,Glass Jar,New Born,Small,Medium"</formula1>
    </dataValidation>
    <dataValidation type="list" showErrorMessage="1" errorTitle="Invalid value" error="Pick one of: Gram, Kilogram." sqref="F67 F3:F65 F69:F996" xr:uid="{00000000-0002-0000-0000-00000A000000}">
      <formula1>"Gram,Kilogram"</formula1>
    </dataValidation>
    <dataValidation type="list" allowBlank="1" showErrorMessage="1" errorTitle="Invalid value" error="Pick one of: Pc, Pcs, Pouch, Pack, Sachet, Bag, …." sqref="M3:M996" xr:uid="{00000000-0002-0000-0000-00000C000000}">
      <formula1>"Pc,Pcs,Pouch,Pack,Sachet,Bag,Lamination Bag,Bottle,Pet Bottle,Jar,Pet Jar,Box,Tin,Can,Case,Tube,Tetra Pack,Sheet,Set,Pad,Refill,Nons,Ladi,Bundle,Loose,Plastic Jar,Container,Glass Jar,New Born,Small,Medium,Large,Extra Large,XXL,XXXL"</formula1>
    </dataValidation>
    <dataValidation type="list" showErrorMessage="1" errorTitle="Invalid value" error="Pick one of: Atta, Flours &amp; Sooji, Bakery, Cakes &amp; Dairy, Beauty &amp; Hygiene, Beverages, Biscuits, Snacks &amp; Namkeen, Cooking Oils &amp; Ghee, …." sqref="O3:O996" xr:uid="{00000000-0002-0000-0000-00000E000000}">
      <formula1>MASTER_CATEGORYID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pane ySplit="1" topLeftCell="A2" activePane="bottomLeft" state="frozen"/>
      <selection pane="bottomLeft" activeCell="B27" sqref="B27"/>
    </sheetView>
  </sheetViews>
  <sheetFormatPr defaultRowHeight="14.4" x14ac:dyDescent="0.3"/>
  <cols>
    <col min="1" max="3" width="18" customWidth="1"/>
    <col min="4" max="4" width="30" customWidth="1"/>
    <col min="5" max="5" width="14" customWidth="1"/>
    <col min="6" max="6" width="15" customWidth="1"/>
    <col min="7" max="7" width="20" customWidth="1"/>
    <col min="8" max="8" width="16" customWidth="1"/>
    <col min="9" max="9" width="21" customWidth="1"/>
    <col min="10" max="10" width="12" customWidth="1"/>
    <col min="11" max="11" width="13" customWidth="1"/>
    <col min="12" max="12" width="14" customWidth="1"/>
  </cols>
  <sheetData>
    <row r="1" spans="1:12" ht="22.2" customHeight="1" x14ac:dyDescent="0.3">
      <c r="A1" s="1" t="s">
        <v>397</v>
      </c>
      <c r="B1" s="1" t="s">
        <v>398</v>
      </c>
      <c r="C1" s="1" t="s">
        <v>12</v>
      </c>
      <c r="D1" s="1" t="s">
        <v>399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18</v>
      </c>
      <c r="L1" s="1" t="s">
        <v>19</v>
      </c>
    </row>
    <row r="2" spans="1:12" x14ac:dyDescent="0.3">
      <c r="A2" t="s">
        <v>35</v>
      </c>
      <c r="B2" t="s">
        <v>35</v>
      </c>
      <c r="C2" t="s">
        <v>406</v>
      </c>
      <c r="D2" t="s">
        <v>407</v>
      </c>
      <c r="E2" t="s">
        <v>408</v>
      </c>
      <c r="F2" t="s">
        <v>408</v>
      </c>
      <c r="G2" t="s">
        <v>408</v>
      </c>
      <c r="H2" t="s">
        <v>409</v>
      </c>
      <c r="I2" t="s">
        <v>410</v>
      </c>
      <c r="J2" t="s">
        <v>411</v>
      </c>
      <c r="K2" t="s">
        <v>412</v>
      </c>
      <c r="L2" t="s">
        <v>412</v>
      </c>
    </row>
    <row r="3" spans="1:12" x14ac:dyDescent="0.3">
      <c r="A3" t="s">
        <v>97</v>
      </c>
      <c r="B3" t="s">
        <v>97</v>
      </c>
      <c r="C3" t="s">
        <v>34</v>
      </c>
      <c r="D3" t="s">
        <v>413</v>
      </c>
      <c r="E3" t="s">
        <v>414</v>
      </c>
      <c r="F3" t="s">
        <v>414</v>
      </c>
      <c r="G3" t="s">
        <v>414</v>
      </c>
      <c r="H3" t="s">
        <v>415</v>
      </c>
      <c r="I3" t="s">
        <v>416</v>
      </c>
      <c r="J3" t="s">
        <v>417</v>
      </c>
      <c r="K3" t="s">
        <v>418</v>
      </c>
      <c r="L3" t="s">
        <v>419</v>
      </c>
    </row>
    <row r="4" spans="1:12" x14ac:dyDescent="0.3">
      <c r="A4" t="s">
        <v>189</v>
      </c>
      <c r="B4" t="s">
        <v>420</v>
      </c>
      <c r="C4" t="s">
        <v>81</v>
      </c>
      <c r="D4" t="s">
        <v>37</v>
      </c>
      <c r="E4" t="s">
        <v>420</v>
      </c>
      <c r="F4" t="s">
        <v>420</v>
      </c>
      <c r="G4" t="s">
        <v>420</v>
      </c>
      <c r="H4" t="s">
        <v>421</v>
      </c>
      <c r="I4" t="s">
        <v>422</v>
      </c>
      <c r="J4" t="s">
        <v>420</v>
      </c>
      <c r="K4" t="s">
        <v>423</v>
      </c>
      <c r="L4" t="s">
        <v>418</v>
      </c>
    </row>
    <row r="5" spans="1:12" x14ac:dyDescent="0.3">
      <c r="A5" t="s">
        <v>185</v>
      </c>
      <c r="B5" t="s">
        <v>420</v>
      </c>
      <c r="C5" t="s">
        <v>66</v>
      </c>
      <c r="D5" t="s">
        <v>424</v>
      </c>
      <c r="E5" t="s">
        <v>420</v>
      </c>
      <c r="F5" t="s">
        <v>420</v>
      </c>
      <c r="G5" t="s">
        <v>420</v>
      </c>
      <c r="H5" t="s">
        <v>420</v>
      </c>
      <c r="I5" t="s">
        <v>425</v>
      </c>
      <c r="J5" t="s">
        <v>420</v>
      </c>
      <c r="K5" t="s">
        <v>426</v>
      </c>
      <c r="L5" t="s">
        <v>423</v>
      </c>
    </row>
    <row r="6" spans="1:12" x14ac:dyDescent="0.3">
      <c r="A6" t="s">
        <v>406</v>
      </c>
      <c r="B6" t="s">
        <v>420</v>
      </c>
      <c r="C6" t="s">
        <v>427</v>
      </c>
      <c r="D6" t="s">
        <v>428</v>
      </c>
      <c r="E6" t="s">
        <v>420</v>
      </c>
      <c r="F6" t="s">
        <v>420</v>
      </c>
      <c r="G6" t="s">
        <v>420</v>
      </c>
      <c r="H6" t="s">
        <v>420</v>
      </c>
      <c r="I6" t="s">
        <v>429</v>
      </c>
      <c r="J6" t="s">
        <v>420</v>
      </c>
      <c r="K6" t="s">
        <v>430</v>
      </c>
      <c r="L6" t="s">
        <v>426</v>
      </c>
    </row>
    <row r="7" spans="1:12" x14ac:dyDescent="0.3">
      <c r="A7" t="s">
        <v>34</v>
      </c>
      <c r="B7" t="s">
        <v>420</v>
      </c>
      <c r="C7" t="s">
        <v>431</v>
      </c>
      <c r="D7" t="s">
        <v>432</v>
      </c>
      <c r="E7" t="s">
        <v>420</v>
      </c>
      <c r="F7" t="s">
        <v>420</v>
      </c>
      <c r="G7" t="s">
        <v>420</v>
      </c>
      <c r="H7" t="s">
        <v>420</v>
      </c>
      <c r="I7" t="s">
        <v>433</v>
      </c>
      <c r="J7" t="s">
        <v>420</v>
      </c>
      <c r="K7" t="s">
        <v>434</v>
      </c>
      <c r="L7" t="s">
        <v>435</v>
      </c>
    </row>
    <row r="8" spans="1:12" x14ac:dyDescent="0.3">
      <c r="A8" t="s">
        <v>81</v>
      </c>
      <c r="B8" t="s">
        <v>420</v>
      </c>
      <c r="C8" t="s">
        <v>436</v>
      </c>
      <c r="D8" t="s">
        <v>437</v>
      </c>
      <c r="E8" t="s">
        <v>420</v>
      </c>
      <c r="F8" t="s">
        <v>420</v>
      </c>
      <c r="G8" t="s">
        <v>420</v>
      </c>
      <c r="H8" t="s">
        <v>420</v>
      </c>
      <c r="I8" t="s">
        <v>438</v>
      </c>
      <c r="J8" t="s">
        <v>420</v>
      </c>
      <c r="K8" t="s">
        <v>420</v>
      </c>
      <c r="L8" t="s">
        <v>420</v>
      </c>
    </row>
    <row r="9" spans="1:12" x14ac:dyDescent="0.3">
      <c r="A9" t="s">
        <v>66</v>
      </c>
      <c r="B9" t="s">
        <v>420</v>
      </c>
      <c r="C9" t="s">
        <v>301</v>
      </c>
      <c r="D9" t="s">
        <v>439</v>
      </c>
      <c r="E9" t="s">
        <v>420</v>
      </c>
      <c r="F9" t="s">
        <v>420</v>
      </c>
      <c r="G9" t="s">
        <v>420</v>
      </c>
      <c r="H9" t="s">
        <v>420</v>
      </c>
      <c r="I9" t="s">
        <v>420</v>
      </c>
      <c r="J9" t="s">
        <v>420</v>
      </c>
      <c r="K9" t="s">
        <v>420</v>
      </c>
      <c r="L9" t="s">
        <v>420</v>
      </c>
    </row>
    <row r="10" spans="1:12" x14ac:dyDescent="0.3">
      <c r="A10" t="s">
        <v>427</v>
      </c>
      <c r="B10" t="s">
        <v>420</v>
      </c>
      <c r="C10" t="s">
        <v>440</v>
      </c>
      <c r="D10" t="s">
        <v>441</v>
      </c>
      <c r="E10" t="s">
        <v>420</v>
      </c>
      <c r="F10" t="s">
        <v>420</v>
      </c>
      <c r="G10" t="s">
        <v>420</v>
      </c>
      <c r="H10" t="s">
        <v>420</v>
      </c>
      <c r="I10" t="s">
        <v>420</v>
      </c>
      <c r="J10" t="s">
        <v>420</v>
      </c>
      <c r="K10" t="s">
        <v>420</v>
      </c>
      <c r="L10" t="s">
        <v>420</v>
      </c>
    </row>
    <row r="11" spans="1:12" x14ac:dyDescent="0.3">
      <c r="A11" t="s">
        <v>431</v>
      </c>
      <c r="B11" t="s">
        <v>420</v>
      </c>
      <c r="C11" t="s">
        <v>442</v>
      </c>
      <c r="D11" t="s">
        <v>443</v>
      </c>
      <c r="E11" t="s">
        <v>420</v>
      </c>
      <c r="F11" t="s">
        <v>420</v>
      </c>
      <c r="G11" t="s">
        <v>420</v>
      </c>
      <c r="H11" t="s">
        <v>420</v>
      </c>
      <c r="I11" t="s">
        <v>420</v>
      </c>
      <c r="J11" t="s">
        <v>420</v>
      </c>
      <c r="K11" t="s">
        <v>420</v>
      </c>
      <c r="L11" t="s">
        <v>420</v>
      </c>
    </row>
    <row r="12" spans="1:12" x14ac:dyDescent="0.3">
      <c r="A12" t="s">
        <v>436</v>
      </c>
      <c r="B12" t="s">
        <v>420</v>
      </c>
      <c r="C12" t="s">
        <v>444</v>
      </c>
      <c r="D12" t="s">
        <v>445</v>
      </c>
      <c r="E12" t="s">
        <v>420</v>
      </c>
      <c r="F12" t="s">
        <v>420</v>
      </c>
      <c r="G12" t="s">
        <v>420</v>
      </c>
      <c r="H12" t="s">
        <v>420</v>
      </c>
      <c r="I12" t="s">
        <v>420</v>
      </c>
      <c r="J12" t="s">
        <v>420</v>
      </c>
      <c r="K12" t="s">
        <v>420</v>
      </c>
      <c r="L12" t="s">
        <v>420</v>
      </c>
    </row>
    <row r="13" spans="1:12" x14ac:dyDescent="0.3">
      <c r="A13" t="s">
        <v>301</v>
      </c>
      <c r="B13" t="s">
        <v>420</v>
      </c>
      <c r="C13" t="s">
        <v>36</v>
      </c>
      <c r="D13" t="s">
        <v>446</v>
      </c>
      <c r="E13" t="s">
        <v>420</v>
      </c>
      <c r="F13" t="s">
        <v>420</v>
      </c>
      <c r="G13" t="s">
        <v>420</v>
      </c>
      <c r="H13" t="s">
        <v>420</v>
      </c>
      <c r="I13" t="s">
        <v>420</v>
      </c>
      <c r="J13" t="s">
        <v>420</v>
      </c>
      <c r="K13" t="s">
        <v>420</v>
      </c>
      <c r="L13" t="s">
        <v>420</v>
      </c>
    </row>
    <row r="14" spans="1:12" x14ac:dyDescent="0.3">
      <c r="A14" t="s">
        <v>440</v>
      </c>
      <c r="B14" t="s">
        <v>420</v>
      </c>
      <c r="C14" t="s">
        <v>447</v>
      </c>
      <c r="D14" t="s">
        <v>448</v>
      </c>
      <c r="E14" t="s">
        <v>420</v>
      </c>
      <c r="F14" t="s">
        <v>420</v>
      </c>
      <c r="G14" t="s">
        <v>420</v>
      </c>
      <c r="H14" t="s">
        <v>420</v>
      </c>
      <c r="I14" t="s">
        <v>420</v>
      </c>
      <c r="J14" t="s">
        <v>420</v>
      </c>
      <c r="K14" t="s">
        <v>420</v>
      </c>
      <c r="L14" t="s">
        <v>420</v>
      </c>
    </row>
    <row r="15" spans="1:12" x14ac:dyDescent="0.3">
      <c r="A15" t="s">
        <v>442</v>
      </c>
      <c r="B15" t="s">
        <v>420</v>
      </c>
      <c r="C15" t="s">
        <v>449</v>
      </c>
      <c r="D15" t="s">
        <v>450</v>
      </c>
      <c r="E15" t="s">
        <v>420</v>
      </c>
      <c r="F15" t="s">
        <v>420</v>
      </c>
      <c r="G15" t="s">
        <v>420</v>
      </c>
      <c r="H15" t="s">
        <v>420</v>
      </c>
      <c r="I15" t="s">
        <v>420</v>
      </c>
      <c r="J15" t="s">
        <v>420</v>
      </c>
      <c r="K15" t="s">
        <v>420</v>
      </c>
      <c r="L15" t="s">
        <v>420</v>
      </c>
    </row>
    <row r="16" spans="1:12" x14ac:dyDescent="0.3">
      <c r="A16" t="s">
        <v>444</v>
      </c>
      <c r="B16" t="s">
        <v>420</v>
      </c>
      <c r="C16" t="s">
        <v>451</v>
      </c>
      <c r="D16" t="s">
        <v>452</v>
      </c>
      <c r="E16" t="s">
        <v>420</v>
      </c>
      <c r="F16" t="s">
        <v>420</v>
      </c>
      <c r="G16" t="s">
        <v>420</v>
      </c>
      <c r="H16" t="s">
        <v>420</v>
      </c>
      <c r="I16" t="s">
        <v>420</v>
      </c>
      <c r="J16" t="s">
        <v>420</v>
      </c>
      <c r="K16" t="s">
        <v>420</v>
      </c>
      <c r="L16" t="s">
        <v>420</v>
      </c>
    </row>
    <row r="17" spans="1:12" x14ac:dyDescent="0.3">
      <c r="A17" t="s">
        <v>36</v>
      </c>
      <c r="B17" t="s">
        <v>420</v>
      </c>
      <c r="C17" t="s">
        <v>453</v>
      </c>
      <c r="D17" t="s">
        <v>454</v>
      </c>
      <c r="E17" t="s">
        <v>420</v>
      </c>
      <c r="F17" t="s">
        <v>420</v>
      </c>
      <c r="G17" t="s">
        <v>420</v>
      </c>
      <c r="H17" t="s">
        <v>420</v>
      </c>
      <c r="I17" t="s">
        <v>420</v>
      </c>
      <c r="J17" t="s">
        <v>420</v>
      </c>
      <c r="K17" t="s">
        <v>420</v>
      </c>
      <c r="L17" t="s">
        <v>420</v>
      </c>
    </row>
    <row r="18" spans="1:12" x14ac:dyDescent="0.3">
      <c r="A18" t="s">
        <v>447</v>
      </c>
      <c r="B18" t="s">
        <v>420</v>
      </c>
      <c r="C18" t="s">
        <v>455</v>
      </c>
      <c r="D18" t="s">
        <v>456</v>
      </c>
      <c r="E18" t="s">
        <v>420</v>
      </c>
      <c r="F18" t="s">
        <v>420</v>
      </c>
      <c r="G18" t="s">
        <v>420</v>
      </c>
      <c r="H18" t="s">
        <v>420</v>
      </c>
      <c r="I18" t="s">
        <v>420</v>
      </c>
      <c r="J18" t="s">
        <v>420</v>
      </c>
      <c r="K18" t="s">
        <v>420</v>
      </c>
      <c r="L18" t="s">
        <v>420</v>
      </c>
    </row>
    <row r="19" spans="1:12" x14ac:dyDescent="0.3">
      <c r="A19" t="s">
        <v>449</v>
      </c>
      <c r="B19" t="s">
        <v>420</v>
      </c>
      <c r="C19" t="s">
        <v>44</v>
      </c>
      <c r="D19" t="s">
        <v>457</v>
      </c>
      <c r="E19" t="s">
        <v>420</v>
      </c>
      <c r="F19" t="s">
        <v>420</v>
      </c>
      <c r="G19" t="s">
        <v>420</v>
      </c>
      <c r="H19" t="s">
        <v>420</v>
      </c>
      <c r="I19" t="s">
        <v>420</v>
      </c>
      <c r="J19" t="s">
        <v>420</v>
      </c>
      <c r="K19" t="s">
        <v>420</v>
      </c>
      <c r="L19" t="s">
        <v>420</v>
      </c>
    </row>
    <row r="20" spans="1:12" x14ac:dyDescent="0.3">
      <c r="A20" t="s">
        <v>451</v>
      </c>
      <c r="B20" t="s">
        <v>420</v>
      </c>
      <c r="C20" t="s">
        <v>458</v>
      </c>
      <c r="D20" t="s">
        <v>459</v>
      </c>
      <c r="E20" t="s">
        <v>420</v>
      </c>
      <c r="F20" t="s">
        <v>420</v>
      </c>
      <c r="G20" t="s">
        <v>420</v>
      </c>
      <c r="H20" t="s">
        <v>420</v>
      </c>
      <c r="I20" t="s">
        <v>420</v>
      </c>
      <c r="J20" t="s">
        <v>420</v>
      </c>
      <c r="K20" t="s">
        <v>420</v>
      </c>
      <c r="L20" t="s">
        <v>420</v>
      </c>
    </row>
    <row r="21" spans="1:12" x14ac:dyDescent="0.3">
      <c r="A21" t="s">
        <v>453</v>
      </c>
      <c r="B21" t="s">
        <v>420</v>
      </c>
      <c r="C21" t="s">
        <v>460</v>
      </c>
      <c r="D21" t="s">
        <v>461</v>
      </c>
      <c r="E21" t="s">
        <v>420</v>
      </c>
      <c r="F21" t="s">
        <v>420</v>
      </c>
      <c r="G21" t="s">
        <v>420</v>
      </c>
      <c r="H21" t="s">
        <v>420</v>
      </c>
      <c r="I21" t="s">
        <v>420</v>
      </c>
      <c r="J21" t="s">
        <v>420</v>
      </c>
      <c r="K21" t="s">
        <v>420</v>
      </c>
      <c r="L21" t="s">
        <v>420</v>
      </c>
    </row>
    <row r="22" spans="1:12" x14ac:dyDescent="0.3">
      <c r="A22" t="s">
        <v>455</v>
      </c>
      <c r="B22" t="s">
        <v>420</v>
      </c>
      <c r="C22" t="s">
        <v>462</v>
      </c>
      <c r="D22" t="s">
        <v>463</v>
      </c>
      <c r="E22" t="s">
        <v>420</v>
      </c>
      <c r="F22" t="s">
        <v>420</v>
      </c>
      <c r="G22" t="s">
        <v>420</v>
      </c>
      <c r="H22" t="s">
        <v>420</v>
      </c>
      <c r="I22" t="s">
        <v>420</v>
      </c>
      <c r="J22" t="s">
        <v>420</v>
      </c>
      <c r="K22" t="s">
        <v>420</v>
      </c>
      <c r="L22" t="s">
        <v>420</v>
      </c>
    </row>
    <row r="23" spans="1:12" x14ac:dyDescent="0.3">
      <c r="A23" t="s">
        <v>44</v>
      </c>
      <c r="B23" t="s">
        <v>420</v>
      </c>
      <c r="C23" t="s">
        <v>220</v>
      </c>
      <c r="D23" t="s">
        <v>464</v>
      </c>
      <c r="E23" t="s">
        <v>420</v>
      </c>
      <c r="F23" t="s">
        <v>420</v>
      </c>
      <c r="G23" t="s">
        <v>420</v>
      </c>
      <c r="H23" t="s">
        <v>420</v>
      </c>
      <c r="I23" t="s">
        <v>420</v>
      </c>
      <c r="J23" t="s">
        <v>420</v>
      </c>
      <c r="K23" t="s">
        <v>420</v>
      </c>
      <c r="L23" t="s">
        <v>420</v>
      </c>
    </row>
    <row r="24" spans="1:12" x14ac:dyDescent="0.3">
      <c r="A24" t="s">
        <v>458</v>
      </c>
      <c r="B24" t="s">
        <v>420</v>
      </c>
      <c r="C24" t="s">
        <v>465</v>
      </c>
      <c r="D24" t="s">
        <v>466</v>
      </c>
      <c r="E24" t="s">
        <v>420</v>
      </c>
      <c r="F24" t="s">
        <v>420</v>
      </c>
      <c r="G24" t="s">
        <v>420</v>
      </c>
      <c r="H24" t="s">
        <v>420</v>
      </c>
      <c r="I24" t="s">
        <v>420</v>
      </c>
      <c r="J24" t="s">
        <v>420</v>
      </c>
      <c r="K24" t="s">
        <v>420</v>
      </c>
      <c r="L24" t="s">
        <v>420</v>
      </c>
    </row>
    <row r="25" spans="1:12" x14ac:dyDescent="0.3">
      <c r="A25" t="s">
        <v>460</v>
      </c>
      <c r="B25" t="s">
        <v>420</v>
      </c>
      <c r="C25" t="s">
        <v>467</v>
      </c>
      <c r="D25" t="s">
        <v>468</v>
      </c>
      <c r="E25" t="s">
        <v>420</v>
      </c>
      <c r="F25" t="s">
        <v>420</v>
      </c>
      <c r="G25" t="s">
        <v>420</v>
      </c>
      <c r="H25" t="s">
        <v>420</v>
      </c>
      <c r="I25" t="s">
        <v>420</v>
      </c>
      <c r="J25" t="s">
        <v>420</v>
      </c>
      <c r="K25" t="s">
        <v>420</v>
      </c>
      <c r="L25" t="s">
        <v>420</v>
      </c>
    </row>
    <row r="26" spans="1:12" x14ac:dyDescent="0.3">
      <c r="A26" t="s">
        <v>462</v>
      </c>
      <c r="B26" t="s">
        <v>420</v>
      </c>
      <c r="C26" t="s">
        <v>469</v>
      </c>
      <c r="D26" t="s">
        <v>470</v>
      </c>
      <c r="E26" t="s">
        <v>420</v>
      </c>
      <c r="F26" t="s">
        <v>420</v>
      </c>
      <c r="G26" t="s">
        <v>420</v>
      </c>
      <c r="H26" t="s">
        <v>420</v>
      </c>
      <c r="I26" t="s">
        <v>420</v>
      </c>
      <c r="J26" t="s">
        <v>420</v>
      </c>
      <c r="K26" t="s">
        <v>420</v>
      </c>
      <c r="L26" t="s">
        <v>420</v>
      </c>
    </row>
    <row r="27" spans="1:12" x14ac:dyDescent="0.3">
      <c r="A27" t="s">
        <v>220</v>
      </c>
      <c r="B27" t="s">
        <v>420</v>
      </c>
      <c r="C27" t="s">
        <v>98</v>
      </c>
      <c r="D27" t="s">
        <v>471</v>
      </c>
      <c r="E27" t="s">
        <v>420</v>
      </c>
      <c r="F27" t="s">
        <v>420</v>
      </c>
      <c r="G27" t="s">
        <v>420</v>
      </c>
      <c r="H27" t="s">
        <v>420</v>
      </c>
      <c r="I27" t="s">
        <v>420</v>
      </c>
      <c r="J27" t="s">
        <v>420</v>
      </c>
      <c r="K27" t="s">
        <v>420</v>
      </c>
      <c r="L27" t="s">
        <v>420</v>
      </c>
    </row>
    <row r="28" spans="1:12" x14ac:dyDescent="0.3">
      <c r="A28" t="s">
        <v>465</v>
      </c>
      <c r="B28" t="s">
        <v>420</v>
      </c>
      <c r="C28" t="s">
        <v>314</v>
      </c>
      <c r="D28" t="s">
        <v>472</v>
      </c>
      <c r="E28" t="s">
        <v>420</v>
      </c>
      <c r="F28" t="s">
        <v>420</v>
      </c>
      <c r="G28" t="s">
        <v>420</v>
      </c>
      <c r="H28" t="s">
        <v>420</v>
      </c>
      <c r="I28" t="s">
        <v>420</v>
      </c>
      <c r="J28" t="s">
        <v>420</v>
      </c>
      <c r="K28" t="s">
        <v>420</v>
      </c>
      <c r="L28" t="s">
        <v>420</v>
      </c>
    </row>
    <row r="29" spans="1:12" x14ac:dyDescent="0.3">
      <c r="A29" t="s">
        <v>467</v>
      </c>
      <c r="B29" t="s">
        <v>420</v>
      </c>
      <c r="C29" t="s">
        <v>76</v>
      </c>
      <c r="D29" t="s">
        <v>473</v>
      </c>
      <c r="E29" t="s">
        <v>420</v>
      </c>
      <c r="F29" t="s">
        <v>420</v>
      </c>
      <c r="G29" t="s">
        <v>420</v>
      </c>
      <c r="H29" t="s">
        <v>420</v>
      </c>
      <c r="I29" t="s">
        <v>420</v>
      </c>
      <c r="J29" t="s">
        <v>420</v>
      </c>
      <c r="K29" t="s">
        <v>420</v>
      </c>
      <c r="L29" t="s">
        <v>420</v>
      </c>
    </row>
    <row r="30" spans="1:12" x14ac:dyDescent="0.3">
      <c r="A30" t="s">
        <v>469</v>
      </c>
      <c r="B30" t="s">
        <v>420</v>
      </c>
      <c r="C30" t="s">
        <v>474</v>
      </c>
      <c r="D30" t="s">
        <v>475</v>
      </c>
      <c r="E30" t="s">
        <v>420</v>
      </c>
      <c r="F30" t="s">
        <v>420</v>
      </c>
      <c r="G30" t="s">
        <v>420</v>
      </c>
      <c r="H30" t="s">
        <v>420</v>
      </c>
      <c r="I30" t="s">
        <v>420</v>
      </c>
      <c r="J30" t="s">
        <v>420</v>
      </c>
      <c r="K30" t="s">
        <v>420</v>
      </c>
      <c r="L30" t="s">
        <v>420</v>
      </c>
    </row>
    <row r="31" spans="1:12" x14ac:dyDescent="0.3">
      <c r="A31" t="s">
        <v>98</v>
      </c>
      <c r="B31" t="s">
        <v>420</v>
      </c>
      <c r="C31" t="s">
        <v>476</v>
      </c>
      <c r="D31" t="s">
        <v>477</v>
      </c>
      <c r="E31" t="s">
        <v>420</v>
      </c>
      <c r="F31" t="s">
        <v>420</v>
      </c>
      <c r="G31" t="s">
        <v>420</v>
      </c>
      <c r="H31" t="s">
        <v>420</v>
      </c>
      <c r="I31" t="s">
        <v>420</v>
      </c>
      <c r="J31" t="s">
        <v>420</v>
      </c>
      <c r="K31" t="s">
        <v>420</v>
      </c>
      <c r="L31" t="s">
        <v>420</v>
      </c>
    </row>
    <row r="32" spans="1:12" x14ac:dyDescent="0.3">
      <c r="A32" t="s">
        <v>314</v>
      </c>
      <c r="B32" t="s">
        <v>420</v>
      </c>
      <c r="C32" t="s">
        <v>478</v>
      </c>
      <c r="D32" t="s">
        <v>479</v>
      </c>
      <c r="E32" t="s">
        <v>420</v>
      </c>
      <c r="F32" t="s">
        <v>420</v>
      </c>
      <c r="G32" t="s">
        <v>420</v>
      </c>
      <c r="H32" t="s">
        <v>420</v>
      </c>
      <c r="I32" t="s">
        <v>420</v>
      </c>
      <c r="J32" t="s">
        <v>420</v>
      </c>
      <c r="K32" t="s">
        <v>420</v>
      </c>
      <c r="L32" t="s">
        <v>420</v>
      </c>
    </row>
    <row r="33" spans="1:12" x14ac:dyDescent="0.3">
      <c r="A33" t="s">
        <v>76</v>
      </c>
      <c r="B33" t="s">
        <v>420</v>
      </c>
      <c r="C33" t="s">
        <v>480</v>
      </c>
      <c r="D33" t="s">
        <v>481</v>
      </c>
      <c r="E33" t="s">
        <v>420</v>
      </c>
      <c r="F33" t="s">
        <v>420</v>
      </c>
      <c r="G33" t="s">
        <v>420</v>
      </c>
      <c r="H33" t="s">
        <v>420</v>
      </c>
      <c r="I33" t="s">
        <v>420</v>
      </c>
      <c r="J33" t="s">
        <v>420</v>
      </c>
      <c r="K33" t="s">
        <v>420</v>
      </c>
      <c r="L33" t="s">
        <v>420</v>
      </c>
    </row>
    <row r="34" spans="1:12" x14ac:dyDescent="0.3">
      <c r="A34" t="s">
        <v>474</v>
      </c>
      <c r="B34" t="s">
        <v>420</v>
      </c>
      <c r="C34" t="s">
        <v>482</v>
      </c>
      <c r="D34" t="s">
        <v>483</v>
      </c>
      <c r="E34" t="s">
        <v>420</v>
      </c>
      <c r="F34" t="s">
        <v>420</v>
      </c>
      <c r="G34" t="s">
        <v>420</v>
      </c>
      <c r="H34" t="s">
        <v>420</v>
      </c>
      <c r="I34" t="s">
        <v>420</v>
      </c>
      <c r="J34" t="s">
        <v>420</v>
      </c>
      <c r="K34" t="s">
        <v>420</v>
      </c>
      <c r="L34" t="s">
        <v>420</v>
      </c>
    </row>
    <row r="35" spans="1:12" x14ac:dyDescent="0.3">
      <c r="A35" t="s">
        <v>476</v>
      </c>
      <c r="B35" t="s">
        <v>420</v>
      </c>
      <c r="C35" t="s">
        <v>484</v>
      </c>
      <c r="D35" t="s">
        <v>485</v>
      </c>
      <c r="E35" t="s">
        <v>420</v>
      </c>
      <c r="F35" t="s">
        <v>420</v>
      </c>
      <c r="G35" t="s">
        <v>420</v>
      </c>
      <c r="H35" t="s">
        <v>420</v>
      </c>
      <c r="I35" t="s">
        <v>420</v>
      </c>
      <c r="J35" t="s">
        <v>420</v>
      </c>
      <c r="K35" t="s">
        <v>420</v>
      </c>
      <c r="L35" t="s">
        <v>420</v>
      </c>
    </row>
    <row r="36" spans="1:12" x14ac:dyDescent="0.3">
      <c r="A36" t="s">
        <v>478</v>
      </c>
      <c r="B36" t="s">
        <v>420</v>
      </c>
      <c r="C36" t="s">
        <v>486</v>
      </c>
      <c r="D36" t="s">
        <v>487</v>
      </c>
      <c r="E36" t="s">
        <v>420</v>
      </c>
      <c r="F36" t="s">
        <v>420</v>
      </c>
      <c r="G36" t="s">
        <v>420</v>
      </c>
      <c r="H36" t="s">
        <v>420</v>
      </c>
      <c r="I36" t="s">
        <v>420</v>
      </c>
      <c r="J36" t="s">
        <v>420</v>
      </c>
      <c r="K36" t="s">
        <v>420</v>
      </c>
      <c r="L36" t="s">
        <v>420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22" customWidth="1"/>
    <col min="4" max="4" width="64" customWidth="1"/>
    <col min="5" max="5" width="36" customWidth="1"/>
  </cols>
  <sheetData>
    <row r="1" spans="1:5" ht="22.2" customHeight="1" x14ac:dyDescent="0.3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</row>
    <row r="2" spans="1:5" ht="28.8" x14ac:dyDescent="0.3">
      <c r="A2" t="s">
        <v>493</v>
      </c>
      <c r="B2" t="s">
        <v>494</v>
      </c>
      <c r="C2" t="s">
        <v>495</v>
      </c>
      <c r="D2" s="2" t="s">
        <v>496</v>
      </c>
      <c r="E2" t="s">
        <v>497</v>
      </c>
    </row>
    <row r="3" spans="1:5" x14ac:dyDescent="0.3">
      <c r="A3" t="s">
        <v>498</v>
      </c>
      <c r="B3" t="s">
        <v>494</v>
      </c>
      <c r="C3" t="s">
        <v>499</v>
      </c>
      <c r="D3" s="2" t="s">
        <v>500</v>
      </c>
      <c r="E3" t="s">
        <v>501</v>
      </c>
    </row>
    <row r="4" spans="1:5" ht="28.8" x14ac:dyDescent="0.3">
      <c r="A4" t="s">
        <v>2</v>
      </c>
      <c r="B4" t="s">
        <v>502</v>
      </c>
      <c r="C4" t="s">
        <v>503</v>
      </c>
      <c r="D4" s="2" t="s">
        <v>504</v>
      </c>
      <c r="E4" t="s">
        <v>505</v>
      </c>
    </row>
    <row r="5" spans="1:5" x14ac:dyDescent="0.3">
      <c r="A5" t="s">
        <v>506</v>
      </c>
      <c r="B5" t="s">
        <v>494</v>
      </c>
      <c r="C5" t="s">
        <v>507</v>
      </c>
      <c r="D5" s="2" t="s">
        <v>508</v>
      </c>
      <c r="E5" t="s">
        <v>509</v>
      </c>
    </row>
    <row r="6" spans="1:5" x14ac:dyDescent="0.3">
      <c r="A6" t="s">
        <v>510</v>
      </c>
      <c r="B6" t="s">
        <v>502</v>
      </c>
      <c r="C6" t="s">
        <v>511</v>
      </c>
      <c r="D6" s="2" t="s">
        <v>512</v>
      </c>
      <c r="E6" t="s">
        <v>513</v>
      </c>
    </row>
    <row r="7" spans="1:5" x14ac:dyDescent="0.3">
      <c r="A7" t="s">
        <v>397</v>
      </c>
      <c r="B7" t="s">
        <v>494</v>
      </c>
      <c r="C7" t="s">
        <v>514</v>
      </c>
      <c r="D7" s="2" t="s">
        <v>515</v>
      </c>
      <c r="E7" t="s">
        <v>189</v>
      </c>
    </row>
    <row r="8" spans="1:5" ht="28.8" x14ac:dyDescent="0.3">
      <c r="A8" t="s">
        <v>516</v>
      </c>
      <c r="B8" t="s">
        <v>494</v>
      </c>
      <c r="C8" t="s">
        <v>517</v>
      </c>
      <c r="D8" s="2" t="s">
        <v>518</v>
      </c>
      <c r="E8" t="s">
        <v>519</v>
      </c>
    </row>
    <row r="9" spans="1:5" x14ac:dyDescent="0.3">
      <c r="A9" t="s">
        <v>398</v>
      </c>
      <c r="B9" t="s">
        <v>494</v>
      </c>
      <c r="C9" t="s">
        <v>514</v>
      </c>
      <c r="D9" s="2" t="s">
        <v>520</v>
      </c>
      <c r="E9" t="s">
        <v>97</v>
      </c>
    </row>
    <row r="10" spans="1:5" ht="28.8" x14ac:dyDescent="0.3">
      <c r="A10" t="s">
        <v>521</v>
      </c>
      <c r="B10" t="s">
        <v>494</v>
      </c>
      <c r="C10" t="s">
        <v>522</v>
      </c>
      <c r="D10" s="2" t="s">
        <v>523</v>
      </c>
      <c r="E10" t="s">
        <v>524</v>
      </c>
    </row>
    <row r="11" spans="1:5" x14ac:dyDescent="0.3">
      <c r="A11" t="s">
        <v>525</v>
      </c>
      <c r="B11" t="s">
        <v>502</v>
      </c>
      <c r="C11" t="s">
        <v>526</v>
      </c>
      <c r="D11" s="2" t="s">
        <v>527</v>
      </c>
      <c r="E11" t="s">
        <v>528</v>
      </c>
    </row>
    <row r="12" spans="1:5" ht="28.8" x14ac:dyDescent="0.3">
      <c r="A12" t="s">
        <v>12</v>
      </c>
      <c r="B12" t="s">
        <v>502</v>
      </c>
      <c r="C12" t="s">
        <v>514</v>
      </c>
      <c r="D12" s="2" t="s">
        <v>529</v>
      </c>
      <c r="E12" t="s">
        <v>301</v>
      </c>
    </row>
    <row r="13" spans="1:5" ht="28.8" x14ac:dyDescent="0.3">
      <c r="A13" t="s">
        <v>13</v>
      </c>
      <c r="B13" t="s">
        <v>502</v>
      </c>
      <c r="C13" t="s">
        <v>530</v>
      </c>
      <c r="D13" s="2" t="s">
        <v>531</v>
      </c>
      <c r="E13" t="s">
        <v>532</v>
      </c>
    </row>
    <row r="14" spans="1:5" x14ac:dyDescent="0.3">
      <c r="A14" t="s">
        <v>8</v>
      </c>
      <c r="B14" t="s">
        <v>502</v>
      </c>
      <c r="C14" t="s">
        <v>533</v>
      </c>
      <c r="D14" s="2" t="s">
        <v>534</v>
      </c>
      <c r="E14" t="s">
        <v>535</v>
      </c>
    </row>
    <row r="15" spans="1:5" ht="28.8" x14ac:dyDescent="0.3">
      <c r="A15" t="s">
        <v>536</v>
      </c>
      <c r="B15" t="s">
        <v>494</v>
      </c>
      <c r="C15" t="s">
        <v>526</v>
      </c>
      <c r="D15" s="2" t="s">
        <v>537</v>
      </c>
      <c r="E15" t="s">
        <v>528</v>
      </c>
    </row>
    <row r="16" spans="1:5" x14ac:dyDescent="0.3">
      <c r="A16" t="s">
        <v>538</v>
      </c>
      <c r="B16" t="s">
        <v>494</v>
      </c>
      <c r="C16" t="s">
        <v>526</v>
      </c>
      <c r="D16" s="2" t="s">
        <v>539</v>
      </c>
      <c r="E16" t="s">
        <v>540</v>
      </c>
    </row>
    <row r="17" spans="1:5" x14ac:dyDescent="0.3">
      <c r="A17" t="s">
        <v>399</v>
      </c>
      <c r="B17" t="s">
        <v>494</v>
      </c>
      <c r="C17" t="s">
        <v>514</v>
      </c>
      <c r="D17" s="2" t="s">
        <v>541</v>
      </c>
      <c r="E17" t="s">
        <v>432</v>
      </c>
    </row>
    <row r="18" spans="1:5" x14ac:dyDescent="0.3">
      <c r="A18" t="s">
        <v>400</v>
      </c>
      <c r="B18" t="s">
        <v>494</v>
      </c>
      <c r="C18" t="s">
        <v>542</v>
      </c>
      <c r="D18" s="2" t="s">
        <v>543</v>
      </c>
      <c r="E18" t="s">
        <v>414</v>
      </c>
    </row>
    <row r="19" spans="1:5" x14ac:dyDescent="0.3">
      <c r="A19" t="s">
        <v>401</v>
      </c>
      <c r="B19" t="s">
        <v>494</v>
      </c>
      <c r="C19" t="s">
        <v>542</v>
      </c>
      <c r="D19" s="2" t="s">
        <v>543</v>
      </c>
      <c r="E19" t="s">
        <v>414</v>
      </c>
    </row>
    <row r="20" spans="1:5" x14ac:dyDescent="0.3">
      <c r="A20" t="s">
        <v>402</v>
      </c>
      <c r="B20" t="s">
        <v>494</v>
      </c>
      <c r="C20" t="s">
        <v>542</v>
      </c>
      <c r="D20" s="2" t="s">
        <v>544</v>
      </c>
      <c r="E20" t="s">
        <v>408</v>
      </c>
    </row>
    <row r="21" spans="1:5" x14ac:dyDescent="0.3">
      <c r="A21" t="s">
        <v>403</v>
      </c>
      <c r="B21" t="s">
        <v>494</v>
      </c>
      <c r="C21" t="s">
        <v>514</v>
      </c>
      <c r="D21" s="2" t="s">
        <v>545</v>
      </c>
      <c r="E21" t="s">
        <v>409</v>
      </c>
    </row>
    <row r="22" spans="1:5" x14ac:dyDescent="0.3">
      <c r="A22" t="s">
        <v>546</v>
      </c>
      <c r="B22" t="s">
        <v>494</v>
      </c>
      <c r="C22" t="s">
        <v>547</v>
      </c>
      <c r="D22" s="2" t="s">
        <v>548</v>
      </c>
      <c r="E22" t="s">
        <v>549</v>
      </c>
    </row>
    <row r="23" spans="1:5" x14ac:dyDescent="0.3">
      <c r="A23" t="s">
        <v>550</v>
      </c>
      <c r="B23" t="s">
        <v>494</v>
      </c>
      <c r="C23" t="s">
        <v>551</v>
      </c>
      <c r="D23" s="2" t="s">
        <v>552</v>
      </c>
      <c r="E23" t="s">
        <v>553</v>
      </c>
    </row>
    <row r="24" spans="1:5" x14ac:dyDescent="0.3">
      <c r="A24" t="s">
        <v>554</v>
      </c>
      <c r="B24" t="s">
        <v>494</v>
      </c>
      <c r="C24" t="s">
        <v>555</v>
      </c>
      <c r="D24" s="2" t="s">
        <v>556</v>
      </c>
      <c r="E24" t="s">
        <v>557</v>
      </c>
    </row>
    <row r="25" spans="1:5" ht="28.8" x14ac:dyDescent="0.3">
      <c r="A25" t="s">
        <v>558</v>
      </c>
      <c r="B25" t="s">
        <v>494</v>
      </c>
      <c r="C25" t="s">
        <v>559</v>
      </c>
      <c r="D25" s="2" t="s">
        <v>560</v>
      </c>
      <c r="E25" t="s">
        <v>561</v>
      </c>
    </row>
    <row r="26" spans="1:5" x14ac:dyDescent="0.3">
      <c r="A26" t="s">
        <v>562</v>
      </c>
      <c r="B26" t="s">
        <v>494</v>
      </c>
      <c r="C26" t="s">
        <v>563</v>
      </c>
      <c r="D26" s="2" t="s">
        <v>564</v>
      </c>
      <c r="E26" t="s">
        <v>565</v>
      </c>
    </row>
    <row r="27" spans="1:5" x14ac:dyDescent="0.3">
      <c r="A27" t="s">
        <v>566</v>
      </c>
      <c r="B27" t="s">
        <v>502</v>
      </c>
      <c r="C27" t="s">
        <v>567</v>
      </c>
      <c r="D27" s="2" t="s">
        <v>568</v>
      </c>
      <c r="E27" t="s">
        <v>569</v>
      </c>
    </row>
    <row r="28" spans="1:5" x14ac:dyDescent="0.3">
      <c r="A28" t="s">
        <v>404</v>
      </c>
      <c r="B28" t="s">
        <v>494</v>
      </c>
      <c r="C28" t="s">
        <v>514</v>
      </c>
      <c r="D28" s="2" t="s">
        <v>570</v>
      </c>
      <c r="E28" t="s">
        <v>410</v>
      </c>
    </row>
    <row r="29" spans="1:5" x14ac:dyDescent="0.3">
      <c r="A29" t="s">
        <v>405</v>
      </c>
      <c r="B29" t="s">
        <v>494</v>
      </c>
      <c r="C29" t="s">
        <v>514</v>
      </c>
      <c r="D29" s="2" t="s">
        <v>571</v>
      </c>
      <c r="E29" t="s">
        <v>411</v>
      </c>
    </row>
    <row r="30" spans="1:5" x14ac:dyDescent="0.3">
      <c r="A30" t="s">
        <v>17</v>
      </c>
      <c r="B30" t="s">
        <v>502</v>
      </c>
      <c r="C30" t="s">
        <v>572</v>
      </c>
      <c r="D30" s="2" t="s">
        <v>573</v>
      </c>
      <c r="E30" t="s">
        <v>574</v>
      </c>
    </row>
    <row r="31" spans="1:5" x14ac:dyDescent="0.3">
      <c r="A31" t="s">
        <v>18</v>
      </c>
      <c r="B31" t="s">
        <v>502</v>
      </c>
      <c r="C31" t="s">
        <v>514</v>
      </c>
      <c r="D31" s="2" t="s">
        <v>575</v>
      </c>
      <c r="E31" t="s">
        <v>430</v>
      </c>
    </row>
    <row r="32" spans="1:5" x14ac:dyDescent="0.3">
      <c r="A32" t="s">
        <v>19</v>
      </c>
      <c r="B32" t="s">
        <v>502</v>
      </c>
      <c r="C32" t="s">
        <v>514</v>
      </c>
      <c r="D32" s="2" t="s">
        <v>576</v>
      </c>
      <c r="E32" t="s">
        <v>412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Main SKU Upload</vt:lpstr>
      <vt:lpstr>Master Data</vt:lpstr>
      <vt:lpstr>Validation</vt:lpstr>
      <vt:lpstr>MASTER_AVAILABLEONCOD</vt:lpstr>
      <vt:lpstr>MASTER_CANCELLABLE</vt:lpstr>
      <vt:lpstr>MASTER_CATEGORYID</vt:lpstr>
      <vt:lpstr>MASTER_COUNTRYOFORIGIN</vt:lpstr>
      <vt:lpstr>MASTER_GSTCESS</vt:lpstr>
      <vt:lpstr>MASTER_GSTTAX</vt:lpstr>
      <vt:lpstr>MASTER_ITEMSTATUS</vt:lpstr>
      <vt:lpstr>MASTER_MEASUREUNIT</vt:lpstr>
      <vt:lpstr>MASTER_PACKAGETYPE</vt:lpstr>
      <vt:lpstr>MASTER_RETURNABLE</vt:lpstr>
      <vt:lpstr>MASTER_TIMETOSHIP</vt:lpstr>
      <vt:lpstr>MASTER_WEIGHTMEASURE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2026-05-20T10:59:27Z</dcterms:created>
  <dcterms:modified xsi:type="dcterms:W3CDTF">2026-05-26T07:22:47Z</dcterms:modified>
  <cp:category/>
  <cp:contentStatus/>
</cp:coreProperties>
</file>